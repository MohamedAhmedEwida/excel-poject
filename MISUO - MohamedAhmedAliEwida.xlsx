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hidePivotFieldList="1"/>
  <mc:AlternateContent xmlns:mc="http://schemas.openxmlformats.org/markup-compatibility/2006">
    <mc:Choice Requires="x15">
      <x15ac:absPath xmlns:x15ac="http://schemas.microsoft.com/office/spreadsheetml/2010/11/ac" url="D:\data anlysis\mazen\Project\Misue\"/>
    </mc:Choice>
  </mc:AlternateContent>
  <xr:revisionPtr revIDLastSave="0" documentId="13_ncr:1_{0717B053-7A9A-4E00-96F7-C31374A51EED}" xr6:coauthVersionLast="47" xr6:coauthVersionMax="47" xr10:uidLastSave="{00000000-0000-0000-0000-000000000000}"/>
  <bookViews>
    <workbookView xWindow="-120" yWindow="-120" windowWidth="20730" windowHeight="11160" activeTab="4" xr2:uid="{00000000-000D-0000-FFFF-FFFF00000000}"/>
  </bookViews>
  <sheets>
    <sheet name="الارشادات" sheetId="3" r:id="rId1"/>
    <sheet name="البيانات" sheetId="1" r:id="rId2"/>
    <sheet name="Misue" sheetId="4" r:id="rId3"/>
    <sheet name="pivot table" sheetId="5" r:id="rId4"/>
    <sheet name="dashboard" sheetId="6" r:id="rId5"/>
  </sheets>
  <definedNames>
    <definedName name="_xlnm._FilterDatabase" localSheetId="1" hidden="1">البيانات!$A$1:$U$88</definedName>
    <definedName name="_xlcn.WorksheetConnection_MISUOMohamedAhmedAliEwida.xlsxmisue1" hidden="1">Misue[]</definedName>
    <definedName name="ExternalData_1" localSheetId="2" hidden="1">Misue!$A$1:$O$127</definedName>
    <definedName name="Slicer_المحافظه">#N/A</definedName>
  </definedNames>
  <calcPr calcId="191028"/>
  <pivotCaches>
    <pivotCache cacheId="155" r:id="rId6"/>
    <pivotCache cacheId="158" r:id="rId7"/>
    <pivotCache cacheId="161" r:id="rId8"/>
    <pivotCache cacheId="164" r:id="rId9"/>
    <pivotCache cacheId="167" r:id="rId10"/>
    <pivotCache cacheId="170" r:id="rId11"/>
    <pivotCache cacheId="173" r:id="rId12"/>
    <pivotCache cacheId="176"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isue" name="misue" connection="WorksheetConnection_MISUO - MohamedAhmedAliEwida.xlsx!misue"/>
        </x15:modelTables>
        <x15:extLst>
          <ext xmlns:x16="http://schemas.microsoft.com/office/spreadsheetml/2014/11/main" uri="{9835A34E-60A6-4A7C-AAB8-D5F71C897F49}">
            <x16:modelTimeGroupings>
              <x16:modelTimeGrouping tableName="misue" columnName="تاريخ التسليم" columnId="تاريخ التسليم">
                <x16:calculatedTimeColumn columnName="تاريخ التسليم (Month Index)" columnId="تاريخ التسليم (Month Index)" contentType="monthsindex" isSelected="1"/>
                <x16:calculatedTimeColumn columnName="تاريخ التسليم (Month)" columnId="تاريخ التسليم (Month)" contentType="months" isSelected="1"/>
              </x16:modelTimeGrouping>
              <x16:modelTimeGrouping tableName="misue" columnName="ميعاد الطلب" columnId="ميعاد الطلب">
                <x16:calculatedTimeColumn columnName="ميعاد الطلب (Year)" columnId="ميعاد الطلب (Year)" contentType="years" isSelected="1"/>
                <x16:calculatedTimeColumn columnName="ميعاد الطلب (Quarter)" columnId="ميعاد الطلب (Quarter)" contentType="quarters" isSelected="1"/>
                <x16:calculatedTimeColumn columnName="ميعاد الطلب (Month Index)" columnId="ميعاد الطلب (Month Index)" contentType="monthsindex" isSelected="1"/>
                <x16:calculatedTimeColumn columnName="ميعاد الطلب (Month)" columnId="ميعاد الطلب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 i="5" l="1"/>
  <c r="P6" i="5"/>
  <c r="C7" i="5"/>
  <c r="J6" i="5"/>
  <c r="J9"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714555-97CC-423C-A8AF-A08A942118C8}" keepAlive="1" name="Query - Misue" description="Connection to the 'Misue' query in the workbook." type="5" refreshedVersion="8" background="1" saveData="1">
    <dbPr connection="Provider=Microsoft.Mashup.OleDb.1;Data Source=$Workbook$;Location=Misue;Extended Properties=&quot;&quot;" command="SELECT * FROM [Misue]"/>
  </connection>
  <connection id="2" xr16:uid="{41959A0F-752F-49CE-A729-A381FA8C2E5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E9C3368-15B2-450E-A8A7-B17745C7082C}" name="WorksheetConnection_MISUO - MohamedAhmedAliEwida.xlsx!misue" type="102" refreshedVersion="8" minRefreshableVersion="5">
    <extLst>
      <ext xmlns:x15="http://schemas.microsoft.com/office/spreadsheetml/2010/11/main" uri="{DE250136-89BD-433C-8126-D09CA5730AF9}">
        <x15:connection id="misue" autoDelete="1">
          <x15:rangePr sourceName="_xlcn.WorksheetConnection_MISUOMohamedAhmedAliEwida.xlsxmisue1"/>
        </x15:connection>
      </ext>
    </extLst>
  </connection>
</connections>
</file>

<file path=xl/sharedStrings.xml><?xml version="1.0" encoding="utf-8"?>
<sst xmlns="http://schemas.openxmlformats.org/spreadsheetml/2006/main" count="2880" uniqueCount="495">
  <si>
    <t>أسم العميل</t>
  </si>
  <si>
    <t>العنوان</t>
  </si>
  <si>
    <t>المنتج</t>
  </si>
  <si>
    <t>تاريخ التسليم</t>
  </si>
  <si>
    <t>المسئول عن التسليم</t>
  </si>
  <si>
    <t>م</t>
  </si>
  <si>
    <t>رقم الموبيل</t>
  </si>
  <si>
    <t xml:space="preserve">منصة البيع </t>
  </si>
  <si>
    <t>هومزمارت</t>
  </si>
  <si>
    <t xml:space="preserve">سعر البيع </t>
  </si>
  <si>
    <t xml:space="preserve">طريقه الدفع </t>
  </si>
  <si>
    <t>ميعاد التسليم</t>
  </si>
  <si>
    <t>ميعاد الطلب</t>
  </si>
  <si>
    <t xml:space="preserve">خالد عبد القوى </t>
  </si>
  <si>
    <t>العجوزه - الجيزه</t>
  </si>
  <si>
    <t xml:space="preserve">سرير منطبق الحديد ابيض والقماش ابيض </t>
  </si>
  <si>
    <t>مسبق الدفع</t>
  </si>
  <si>
    <t>27\7\2024</t>
  </si>
  <si>
    <t>محمود</t>
  </si>
  <si>
    <t>سموحه - اسكندريه</t>
  </si>
  <si>
    <t xml:space="preserve">سرير منطبق اسود والقماش اسود </t>
  </si>
  <si>
    <t>28\7\2024</t>
  </si>
  <si>
    <t>سعيد</t>
  </si>
  <si>
    <t xml:space="preserve">سيدى عبد الرحمن - الساحل الشمالى </t>
  </si>
  <si>
    <t xml:space="preserve">سرير كيفينج مقاس 90 لون ازرق </t>
  </si>
  <si>
    <t>ساندرا</t>
  </si>
  <si>
    <t xml:space="preserve">الغردقه </t>
  </si>
  <si>
    <t xml:space="preserve">ترابيزه قهوه متحركه </t>
  </si>
  <si>
    <t xml:space="preserve">تم التسليم عن طريق شركه شحن </t>
  </si>
  <si>
    <t xml:space="preserve">زينا </t>
  </si>
  <si>
    <t xml:space="preserve">سرير نوفال متر رمادى </t>
  </si>
  <si>
    <t xml:space="preserve">شيك هومز </t>
  </si>
  <si>
    <t xml:space="preserve">كنبه سرير رمادى </t>
  </si>
  <si>
    <t xml:space="preserve">احمد </t>
  </si>
  <si>
    <t>التجمع الخامس</t>
  </si>
  <si>
    <t>فيس بوك</t>
  </si>
  <si>
    <t xml:space="preserve">تم تسليم العميل عن طريق شركه شحن </t>
  </si>
  <si>
    <t xml:space="preserve">فشل التسليم </t>
  </si>
  <si>
    <t>yilmaz</t>
  </si>
  <si>
    <t xml:space="preserve">٦ اكتوبر الجيزه </t>
  </si>
  <si>
    <t xml:space="preserve">سرير فردى ابيض </t>
  </si>
  <si>
    <t xml:space="preserve">تاكى </t>
  </si>
  <si>
    <t>العباسيه</t>
  </si>
  <si>
    <t>تاكى</t>
  </si>
  <si>
    <t xml:space="preserve">ركنه </t>
  </si>
  <si>
    <t>٢ كنبه سحاره بمخدع</t>
  </si>
  <si>
    <t xml:space="preserve">العباسيه </t>
  </si>
  <si>
    <t xml:space="preserve">٢ كنبه سحاره بدون مخدع </t>
  </si>
  <si>
    <t xml:space="preserve">على رشوان </t>
  </si>
  <si>
    <t>مصر الجديده</t>
  </si>
  <si>
    <t>سرير نوفال ابيض مقاس ٨٠</t>
  </si>
  <si>
    <t xml:space="preserve">سرير كينج ابيض </t>
  </si>
  <si>
    <t>شيك هومز</t>
  </si>
  <si>
    <t xml:space="preserve">سرير كينج اسود </t>
  </si>
  <si>
    <t xml:space="preserve">فيصل نعيم </t>
  </si>
  <si>
    <t xml:space="preserve">التجمع الخامس </t>
  </si>
  <si>
    <t xml:space="preserve">اوسكار ريتن </t>
  </si>
  <si>
    <t xml:space="preserve">٢ سرير كيفنج ١٢٠ اسود </t>
  </si>
  <si>
    <t>ellho elkafy</t>
  </si>
  <si>
    <t xml:space="preserve">مدينه نصر </t>
  </si>
  <si>
    <t xml:space="preserve">سرير كينج ابيض مقاس ٨٠ التصميم الجديد </t>
  </si>
  <si>
    <t xml:space="preserve">لينا </t>
  </si>
  <si>
    <t xml:space="preserve">المقطم </t>
  </si>
  <si>
    <t xml:space="preserve">ترابيزه قهوه علويه جديده </t>
  </si>
  <si>
    <t xml:space="preserve">٢ فوتيه فنيسيا </t>
  </si>
  <si>
    <t xml:space="preserve">احمد فخرى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</si>
  <si>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</si>
  <si>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</si>
  <si>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</si>
  <si>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</si>
  <si>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</si>
  <si>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رنا </t>
  </si>
  <si>
    <t xml:space="preserve">القطاميه </t>
  </si>
  <si>
    <t xml:space="preserve">على السيد </t>
  </si>
  <si>
    <t xml:space="preserve">الشروق القاهره </t>
  </si>
  <si>
    <t xml:space="preserve">هشام بسيونى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</si>
  <si>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</si>
  <si>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</si>
  <si>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</si>
  <si>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</si>
  <si>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</si>
  <si>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1229928475-01022373996</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</si>
  <si>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</si>
  <si>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</si>
  <si>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</si>
  <si>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</si>
  <si>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</si>
  <si>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</si>
  <si>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</si>
  <si>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ساره وجيه </t>
  </si>
  <si>
    <t xml:space="preserve">سرير كيفنج دورين مقاس ٨٠ ابيض </t>
  </si>
  <si>
    <t xml:space="preserve">سرير ٣ ادوار ابيض مقاس ٨٠ ابيض </t>
  </si>
  <si>
    <t xml:space="preserve">مها </t>
  </si>
  <si>
    <t xml:space="preserve">لافيستا العين السخنه </t>
  </si>
  <si>
    <t>سرير استيل ازرق مقاس ١٤٠</t>
  </si>
  <si>
    <t xml:space="preserve">اسراء ابو العنين </t>
  </si>
  <si>
    <t>سرير اسبانى اسود مقاس ١٢٠</t>
  </si>
  <si>
    <t xml:space="preserve">بسام الشربينى </t>
  </si>
  <si>
    <t xml:space="preserve">سرير كينج ١٢٠ بنفسجى </t>
  </si>
  <si>
    <t>وائل صادق</t>
  </si>
  <si>
    <t xml:space="preserve">سرير كوين مقاس ١٤٠ دهبي ورمادى </t>
  </si>
  <si>
    <t xml:space="preserve">هبه عبد الفتاح </t>
  </si>
  <si>
    <t xml:space="preserve">القاهره الجديده </t>
  </si>
  <si>
    <t xml:space="preserve">كنبه سرير ٤ حركه </t>
  </si>
  <si>
    <t xml:space="preserve">حاتم العيسوي </t>
  </si>
  <si>
    <t>سرير منطبق اسود حديد وقماش</t>
  </si>
  <si>
    <t>صفاء</t>
  </si>
  <si>
    <t>المعادى</t>
  </si>
  <si>
    <t xml:space="preserve">اسراء ابراهيم </t>
  </si>
  <si>
    <t xml:space="preserve">ملغى </t>
  </si>
  <si>
    <t xml:space="preserve">طارق كمال </t>
  </si>
  <si>
    <t xml:space="preserve">سرير ٣ ادوار اسود مقاس ٩٠ </t>
  </si>
  <si>
    <t xml:space="preserve">مصطفي غنيم </t>
  </si>
  <si>
    <t xml:space="preserve">اسيوط </t>
  </si>
  <si>
    <t xml:space="preserve">سرير كيفنج دورين مقاس ١٢٠ رمادى </t>
  </si>
  <si>
    <t xml:space="preserve">مسبق الدفع </t>
  </si>
  <si>
    <t>حسام عبدون</t>
  </si>
  <si>
    <t>الغردقه</t>
  </si>
  <si>
    <t xml:space="preserve">اياد </t>
  </si>
  <si>
    <t>ميار خورشد</t>
  </si>
  <si>
    <t xml:space="preserve">سرير منطبق اسود حديد ومعدن </t>
  </si>
  <si>
    <t xml:space="preserve">عبد الله سيد </t>
  </si>
  <si>
    <t xml:space="preserve">الشيخ زايد ٦ اكتوبر </t>
  </si>
  <si>
    <t xml:space="preserve">سرير اسبانى  ١٤٠ اسود وبيج </t>
  </si>
  <si>
    <t xml:space="preserve">كينج سونا </t>
  </si>
  <si>
    <t xml:space="preserve">تربيزه قهوه مرتفعه برف سحاب </t>
  </si>
  <si>
    <t xml:space="preserve">رامى </t>
  </si>
  <si>
    <t xml:space="preserve">سرير نوفال ١٠٠ رمادى </t>
  </si>
  <si>
    <t xml:space="preserve">احمد خالد </t>
  </si>
  <si>
    <t>الرحاب</t>
  </si>
  <si>
    <t xml:space="preserve"> ٢. سرير فورجينا ابيض مقاس ١٢٠</t>
  </si>
  <si>
    <t>ساره</t>
  </si>
  <si>
    <t xml:space="preserve">   ٢. سرير اسبانى ابيض ١٢٠</t>
  </si>
  <si>
    <t>رحاب</t>
  </si>
  <si>
    <t xml:space="preserve">احمد ايمن </t>
  </si>
  <si>
    <t>العبور</t>
  </si>
  <si>
    <t xml:space="preserve">فؤاد المنسي </t>
  </si>
  <si>
    <t xml:space="preserve">سرير نوفال مقاس ٨٠ ابيض </t>
  </si>
  <si>
    <t xml:space="preserve">ديفد بهجت </t>
  </si>
  <si>
    <t>فيصل الجيزه</t>
  </si>
  <si>
    <t>تربيزه قهوه ٢ رافع</t>
  </si>
  <si>
    <t xml:space="preserve">حسن مغرب </t>
  </si>
  <si>
    <t xml:space="preserve">سرير كيفنج ١٢٠ رمادى </t>
  </si>
  <si>
    <t>صفاء الحكيم</t>
  </si>
  <si>
    <t>العين السخنه</t>
  </si>
  <si>
    <t>سرير منطببق اسود وقماش اسود</t>
  </si>
  <si>
    <t>14/9/224</t>
  </si>
  <si>
    <t>يوسف شناوى</t>
  </si>
  <si>
    <t xml:space="preserve">الابراهيميه . الإسكندرية </t>
  </si>
  <si>
    <t xml:space="preserve">ترابيزه قهوه علويه برف سحاب </t>
  </si>
  <si>
    <t>سرير</t>
  </si>
  <si>
    <t>منطبق</t>
  </si>
  <si>
    <t>نوفال</t>
  </si>
  <si>
    <t>فردى</t>
  </si>
  <si>
    <t>كينج</t>
  </si>
  <si>
    <t>كيفنج</t>
  </si>
  <si>
    <t>اسبانى</t>
  </si>
  <si>
    <t>تربيزه</t>
  </si>
  <si>
    <t>ركنة</t>
  </si>
  <si>
    <t>سحارة</t>
  </si>
  <si>
    <t>ركنة بسرير</t>
  </si>
  <si>
    <t>كنبة</t>
  </si>
  <si>
    <t>كرسى</t>
  </si>
  <si>
    <t>فنسيا</t>
  </si>
  <si>
    <t>4*1</t>
  </si>
  <si>
    <t>دورين</t>
  </si>
  <si>
    <t xml:space="preserve">كنبة </t>
  </si>
  <si>
    <t>ابيض</t>
  </si>
  <si>
    <t>اسود</t>
  </si>
  <si>
    <t>ارفيل</t>
  </si>
  <si>
    <t>ازرق</t>
  </si>
  <si>
    <t>ثلاثه ادوار</t>
  </si>
  <si>
    <t>رمادى</t>
  </si>
  <si>
    <t>بنفسجى</t>
  </si>
  <si>
    <t>الاسم</t>
  </si>
  <si>
    <t>المقاس</t>
  </si>
  <si>
    <t>دهبي</t>
  </si>
  <si>
    <t>فورجينا</t>
  </si>
  <si>
    <t>كورين</t>
  </si>
  <si>
    <t>اللون المعدن</t>
  </si>
  <si>
    <t>لون القماش</t>
  </si>
  <si>
    <t>رقم العملية</t>
  </si>
  <si>
    <t>رقم الطلب</t>
  </si>
  <si>
    <t>mohannad</t>
  </si>
  <si>
    <t>EL-Maadi</t>
  </si>
  <si>
    <t>Mohamed Ayman</t>
  </si>
  <si>
    <t>Madinet Badr</t>
  </si>
  <si>
    <t>2 ميكانزم</t>
  </si>
  <si>
    <t>بمكتبة</t>
  </si>
  <si>
    <t>رف سحاب</t>
  </si>
  <si>
    <t>الحالة</t>
  </si>
  <si>
    <t>نم التسليم</t>
  </si>
  <si>
    <t>فشل التسليم</t>
  </si>
  <si>
    <t>لغى</t>
  </si>
  <si>
    <t>نم التصنيع</t>
  </si>
  <si>
    <t>15/9/2024</t>
  </si>
  <si>
    <t>اسامه</t>
  </si>
  <si>
    <t>16/9/2024</t>
  </si>
  <si>
    <t>تم التسليم</t>
  </si>
  <si>
    <t xml:space="preserve">تم التسليم محمود على </t>
  </si>
  <si>
    <t xml:space="preserve">المخزن ابو الغيط </t>
  </si>
  <si>
    <t>اسود وبنى</t>
  </si>
  <si>
    <t>ولاء بدوى</t>
  </si>
  <si>
    <t>عبد الرحمن يسري</t>
  </si>
  <si>
    <t>اكتوبر الجيزه</t>
  </si>
  <si>
    <t>كنبه</t>
  </si>
  <si>
    <t>4×1</t>
  </si>
  <si>
    <t xml:space="preserve">اسود </t>
  </si>
  <si>
    <t>مرتجع</t>
  </si>
  <si>
    <t>31/9/2024</t>
  </si>
  <si>
    <t>الحج محمد السويس</t>
  </si>
  <si>
    <t xml:space="preserve">السويس </t>
  </si>
  <si>
    <t>السويس</t>
  </si>
  <si>
    <t>فانتاستك</t>
  </si>
  <si>
    <t>ملون</t>
  </si>
  <si>
    <t>فنيسيا</t>
  </si>
  <si>
    <t>رصاصي مشجر</t>
  </si>
  <si>
    <t>اسزد</t>
  </si>
  <si>
    <t>بيج</t>
  </si>
  <si>
    <t>شيزلونج</t>
  </si>
  <si>
    <t xml:space="preserve">نبيتى </t>
  </si>
  <si>
    <t>عمرو الأسود</t>
  </si>
  <si>
    <t>الزمالك</t>
  </si>
  <si>
    <t>لغي</t>
  </si>
  <si>
    <t>مخزن شيك هومز</t>
  </si>
  <si>
    <t xml:space="preserve">كنبه </t>
  </si>
  <si>
    <t xml:space="preserve">بترولى </t>
  </si>
  <si>
    <t xml:space="preserve">تم التسليم بمعرفه الحج سيد </t>
  </si>
  <si>
    <t xml:space="preserve">تم التسليم </t>
  </si>
  <si>
    <t xml:space="preserve">أكتوبر </t>
  </si>
  <si>
    <t>التجمع</t>
  </si>
  <si>
    <t>keira</t>
  </si>
  <si>
    <t xml:space="preserve">نوفال </t>
  </si>
  <si>
    <t>١٤٠/١٠٠</t>
  </si>
  <si>
    <t>بينك</t>
  </si>
  <si>
    <t>tarek</t>
  </si>
  <si>
    <t>لاغى</t>
  </si>
  <si>
    <t>reem</t>
  </si>
  <si>
    <t>البطاش اسكندريه</t>
  </si>
  <si>
    <t>١٠٠/١٤٠</t>
  </si>
  <si>
    <t>هشام سامى</t>
  </si>
  <si>
    <t>s03163</t>
  </si>
  <si>
    <t>41 كومبوند جولدن جستس الدور 4 شقه 4</t>
  </si>
  <si>
    <t xml:space="preserve">منزلى </t>
  </si>
  <si>
    <t>بلحه</t>
  </si>
  <si>
    <t>خشب بنى فاتح</t>
  </si>
  <si>
    <t>فانتستيك</t>
  </si>
  <si>
    <t>الوان</t>
  </si>
  <si>
    <t>المعرض مدينه نصر</t>
  </si>
  <si>
    <t xml:space="preserve">اقرب وقت </t>
  </si>
  <si>
    <t>فاطمه محمد</t>
  </si>
  <si>
    <t>أكتوبر الجيزه</t>
  </si>
  <si>
    <t>الشيخ زايد اكتوبر</t>
  </si>
  <si>
    <t>بولا هومزمارت</t>
  </si>
  <si>
    <t>مسيو هومزمارت</t>
  </si>
  <si>
    <t>4800+300شحن</t>
  </si>
  <si>
    <t>5000+300شحن</t>
  </si>
  <si>
    <t xml:space="preserve">محمد شكرى </t>
  </si>
  <si>
    <t>ارينا</t>
  </si>
  <si>
    <t>بترولى</t>
  </si>
  <si>
    <t>مسبق</t>
  </si>
  <si>
    <t>3/12/204</t>
  </si>
  <si>
    <t>so3290</t>
  </si>
  <si>
    <t>منزلى</t>
  </si>
  <si>
    <t>مدينتى</t>
  </si>
  <si>
    <t>s_6725</t>
  </si>
  <si>
    <t>حماده</t>
  </si>
  <si>
    <t>صفاء عبد الباقي</t>
  </si>
  <si>
    <t xml:space="preserve">كينج </t>
  </si>
  <si>
    <t>s_6806</t>
  </si>
  <si>
    <t xml:space="preserve">سرير </t>
  </si>
  <si>
    <t>s-6626</t>
  </si>
  <si>
    <t>المخزن</t>
  </si>
  <si>
    <t xml:space="preserve">دورين </t>
  </si>
  <si>
    <t xml:space="preserve">مرفوض </t>
  </si>
  <si>
    <t xml:space="preserve">رندا العامرى </t>
  </si>
  <si>
    <t xml:space="preserve">كيمت </t>
  </si>
  <si>
    <t xml:space="preserve">كيفنج </t>
  </si>
  <si>
    <t>٦ اكتوبر الجيزه</t>
  </si>
  <si>
    <t xml:space="preserve">فردى </t>
  </si>
  <si>
    <t>امريكى</t>
  </si>
  <si>
    <t>محمد حمدى</t>
  </si>
  <si>
    <t>فيسبوك</t>
  </si>
  <si>
    <t xml:space="preserve">كوين </t>
  </si>
  <si>
    <t>5700+300شحن</t>
  </si>
  <si>
    <t xml:space="preserve">بافلى هانى </t>
  </si>
  <si>
    <t xml:space="preserve">شبرا </t>
  </si>
  <si>
    <t xml:space="preserve">اسبانى </t>
  </si>
  <si>
    <t>t1</t>
  </si>
  <si>
    <t xml:space="preserve">تم التسليم م محمد </t>
  </si>
  <si>
    <t>رنا ميلاد</t>
  </si>
  <si>
    <t xml:space="preserve">جليم الإسكندرية </t>
  </si>
  <si>
    <t>ترابيزه</t>
  </si>
  <si>
    <t>مكتبه</t>
  </si>
  <si>
    <t>محمد ناجى</t>
  </si>
  <si>
    <t xml:space="preserve">دوران </t>
  </si>
  <si>
    <t>ميكانزم</t>
  </si>
  <si>
    <t>ابيض في بنى غامق</t>
  </si>
  <si>
    <t>احمد عبد الستار</t>
  </si>
  <si>
    <t>المندره اسكندريه</t>
  </si>
  <si>
    <t xml:space="preserve">نور </t>
  </si>
  <si>
    <t xml:space="preserve">ترابيزه </t>
  </si>
  <si>
    <t>بنى غامق</t>
  </si>
  <si>
    <t>نور</t>
  </si>
  <si>
    <t xml:space="preserve">هومزمارت </t>
  </si>
  <si>
    <t xml:space="preserve">بنى غامق </t>
  </si>
  <si>
    <t>تامر</t>
  </si>
  <si>
    <t>٢ ميكانزم</t>
  </si>
  <si>
    <t xml:space="preserve">بيج </t>
  </si>
  <si>
    <t>هناء اسامه</t>
  </si>
  <si>
    <t>القطاميه</t>
  </si>
  <si>
    <t>s_7152</t>
  </si>
  <si>
    <t xml:space="preserve">محمد عادل </t>
  </si>
  <si>
    <t>مريم عنان</t>
  </si>
  <si>
    <t xml:space="preserve">اب تاون كايرو التجمع </t>
  </si>
  <si>
    <t xml:space="preserve">هبه عطيه </t>
  </si>
  <si>
    <t>دوران</t>
  </si>
  <si>
    <t>حمدى ذكرى</t>
  </si>
  <si>
    <t>روك ١٠</t>
  </si>
  <si>
    <t xml:space="preserve">معتمدا علي الهدف الأساسي المتمثل في " تحديد المنتجات الأعلى والأقل مبيعًا " </t>
  </si>
  <si>
    <t>إجمالي المبيعات (Total Sales)</t>
  </si>
  <si>
    <t xml:space="preserve">عدد الطلبات (Total Orders) </t>
  </si>
  <si>
    <t>متوسط سعر البيع (Average Selling Price)</t>
  </si>
  <si>
    <t>عدد المنتجات المباعة حسب المنصة (Sales by Platform)</t>
  </si>
  <si>
    <t>نسبة الطلبات المسلمة في الموعد (On-time Delivery Rate).</t>
  </si>
  <si>
    <t>مستندا الي  KPIS الأساسية :</t>
  </si>
  <si>
    <t xml:space="preserve"> قم بتصميم Dashboard</t>
  </si>
  <si>
    <t xml:space="preserve">المنتج الأكثر مبيعا   Best  Seller </t>
  </si>
  <si>
    <t xml:space="preserve">اللون الأكثر مبيعا Best Color sold </t>
  </si>
  <si>
    <t>المدينة الأكثر مبيعا   (Orders by Area).</t>
  </si>
  <si>
    <t xml:space="preserve">عدد الأفراد والشركات التي تتعامل معها شركة مسيو </t>
  </si>
  <si>
    <t>نسبة الطلبات  الملغاة التي لم تتسلم (Delivery Status Breakdown)</t>
  </si>
  <si>
    <t>Column1</t>
  </si>
  <si>
    <t>Column2</t>
  </si>
  <si>
    <t>رمادي</t>
  </si>
  <si>
    <t>بني غامق</t>
  </si>
  <si>
    <t>بيح</t>
  </si>
  <si>
    <t>ملغي</t>
  </si>
  <si>
    <t>المحافظه</t>
  </si>
  <si>
    <t>المدينه</t>
  </si>
  <si>
    <t>النوع</t>
  </si>
  <si>
    <t>الجيزه</t>
  </si>
  <si>
    <t>العجوزه</t>
  </si>
  <si>
    <t>سرير منطبق</t>
  </si>
  <si>
    <t>الاسكنداريه</t>
  </si>
  <si>
    <t>سموحه</t>
  </si>
  <si>
    <t>9749</t>
  </si>
  <si>
    <t>الساحل الشمالي سيدي عبدالرحمن</t>
  </si>
  <si>
    <t>سرير دورين</t>
  </si>
  <si>
    <t>10067.68</t>
  </si>
  <si>
    <t xml:space="preserve">تربيزه </t>
  </si>
  <si>
    <t>12974.22</t>
  </si>
  <si>
    <t>6اكتوبر</t>
  </si>
  <si>
    <t>كنبه 4×1</t>
  </si>
  <si>
    <t>القاهره</t>
  </si>
  <si>
    <t>12000</t>
  </si>
  <si>
    <t>سرير فردى</t>
  </si>
  <si>
    <t>22000</t>
  </si>
  <si>
    <t>كنبه سحارة</t>
  </si>
  <si>
    <t>16000</t>
  </si>
  <si>
    <t>مصرالجديده</t>
  </si>
  <si>
    <t>8924</t>
  </si>
  <si>
    <t>5895</t>
  </si>
  <si>
    <t>المقطم</t>
  </si>
  <si>
    <t>تربيزه ٢ ميكانزم</t>
  </si>
  <si>
    <t>9700</t>
  </si>
  <si>
    <t>مدينةنصر</t>
  </si>
  <si>
    <t>11310</t>
  </si>
  <si>
    <t>كرسى فنيسيا</t>
  </si>
  <si>
    <t>9300</t>
  </si>
  <si>
    <t>المعادي</t>
  </si>
  <si>
    <t>5781.75</t>
  </si>
  <si>
    <t>1278.53</t>
  </si>
  <si>
    <t>القليوبيه</t>
  </si>
  <si>
    <t>مخزن اوسكار القناطر</t>
  </si>
  <si>
    <t>الابرهيميه</t>
  </si>
  <si>
    <t>تربيزه رف سحاب</t>
  </si>
  <si>
    <t>7928</t>
  </si>
  <si>
    <t>شارع البحيري بولاق الدكرور</t>
  </si>
  <si>
    <t>سرير ثلاثه ادوار</t>
  </si>
  <si>
    <t>9450</t>
  </si>
  <si>
    <t>ذهبي</t>
  </si>
  <si>
    <t>الشروق القاهره</t>
  </si>
  <si>
    <t>حدايق الاهرام</t>
  </si>
  <si>
    <t>10749</t>
  </si>
  <si>
    <t>العين السخنه لافستا</t>
  </si>
  <si>
    <t>فيصل</t>
  </si>
  <si>
    <t>اسيوط</t>
  </si>
  <si>
    <t>مدينة بدر</t>
  </si>
  <si>
    <t>مدينةبدر</t>
  </si>
  <si>
    <t>6306</t>
  </si>
  <si>
    <t>المخزن ابوالغيط</t>
  </si>
  <si>
    <t>اسودوبنى</t>
  </si>
  <si>
    <t>9033</t>
  </si>
  <si>
    <t>8433</t>
  </si>
  <si>
    <t>9608</t>
  </si>
  <si>
    <t>كنبه فنيسيا</t>
  </si>
  <si>
    <t xml:space="preserve">شيزلونج </t>
  </si>
  <si>
    <t>8988</t>
  </si>
  <si>
    <t>بترولي</t>
  </si>
  <si>
    <t>11495</t>
  </si>
  <si>
    <t>13028</t>
  </si>
  <si>
    <t>البطاش</t>
  </si>
  <si>
    <t>منزلي</t>
  </si>
  <si>
    <t>11277.5</t>
  </si>
  <si>
    <t>9007.01</t>
  </si>
  <si>
    <t>8879</t>
  </si>
  <si>
    <t>11749</t>
  </si>
  <si>
    <t>4800</t>
  </si>
  <si>
    <t>مدينتي</t>
  </si>
  <si>
    <t>13575</t>
  </si>
  <si>
    <t>5800</t>
  </si>
  <si>
    <t>شبرا</t>
  </si>
  <si>
    <t>7965</t>
  </si>
  <si>
    <t>كنبه t1</t>
  </si>
  <si>
    <t>6000</t>
  </si>
  <si>
    <t>جليم</t>
  </si>
  <si>
    <t>تربيزه دورين</t>
  </si>
  <si>
    <t>6211</t>
  </si>
  <si>
    <t>المندره</t>
  </si>
  <si>
    <t>7707</t>
  </si>
  <si>
    <t>11257</t>
  </si>
  <si>
    <t>13231</t>
  </si>
  <si>
    <t>المبيعات</t>
  </si>
  <si>
    <t>في الموعد</t>
  </si>
  <si>
    <t>متاخر</t>
  </si>
  <si>
    <t>شيك هومز مارت</t>
  </si>
  <si>
    <t>تاكي</t>
  </si>
  <si>
    <t>الله الكافي</t>
  </si>
  <si>
    <t>مهند</t>
  </si>
  <si>
    <t>محمد ايمن</t>
  </si>
  <si>
    <t>يلماز</t>
  </si>
  <si>
    <t>كيرا</t>
  </si>
  <si>
    <t>طارق</t>
  </si>
  <si>
    <t>ريم</t>
  </si>
  <si>
    <t>total sales</t>
  </si>
  <si>
    <t>Sum of المبيعات</t>
  </si>
  <si>
    <t>total orders</t>
  </si>
  <si>
    <t>average selling price</t>
  </si>
  <si>
    <t>total clients</t>
  </si>
  <si>
    <t>Row Labels</t>
  </si>
  <si>
    <t>احمد</t>
  </si>
  <si>
    <t>احمد ايمن</t>
  </si>
  <si>
    <t>احمد خالد</t>
  </si>
  <si>
    <t>احمد فخرى</t>
  </si>
  <si>
    <t>اسراء ابراهيم</t>
  </si>
  <si>
    <t>اسراء ابو العنين</t>
  </si>
  <si>
    <t>اياد</t>
  </si>
  <si>
    <t>بافلى هانى</t>
  </si>
  <si>
    <t>بسام الشربينى</t>
  </si>
  <si>
    <t>حاتم العيسوي</t>
  </si>
  <si>
    <t>حسن مغرب</t>
  </si>
  <si>
    <t>خالد عبد القوى</t>
  </si>
  <si>
    <t>ديفد بهجت</t>
  </si>
  <si>
    <t>رامى</t>
  </si>
  <si>
    <t>رنا</t>
  </si>
  <si>
    <t>رندا العامرى</t>
  </si>
  <si>
    <t>زينا</t>
  </si>
  <si>
    <t>ساره وجيه</t>
  </si>
  <si>
    <t>طارق كمال</t>
  </si>
  <si>
    <t>عبد الله سيد</t>
  </si>
  <si>
    <t>على السيد</t>
  </si>
  <si>
    <t>على رشوان</t>
  </si>
  <si>
    <t>فؤاد المنسي</t>
  </si>
  <si>
    <t>فيصل نعيم</t>
  </si>
  <si>
    <t>كينج سونا</t>
  </si>
  <si>
    <t>لينا</t>
  </si>
  <si>
    <t>محمد شكرى</t>
  </si>
  <si>
    <t>محمد عادل</t>
  </si>
  <si>
    <t>مصطفي غنيم</t>
  </si>
  <si>
    <t>مها</t>
  </si>
  <si>
    <t>هبه عبد الفتاح</t>
  </si>
  <si>
    <t>هبه عطيه</t>
  </si>
  <si>
    <t>هشام بسيونى</t>
  </si>
  <si>
    <t>Grand Total</t>
  </si>
  <si>
    <t>sales by Platform</t>
  </si>
  <si>
    <t>delivery status by orders</t>
  </si>
  <si>
    <t>Aug</t>
  </si>
  <si>
    <t>Sep</t>
  </si>
  <si>
    <t>Oct</t>
  </si>
  <si>
    <t>Nov</t>
  </si>
  <si>
    <t>Dec</t>
  </si>
  <si>
    <t xml:space="preserve">حالة التسليم </t>
  </si>
  <si>
    <t xml:space="preserve">المنتجات </t>
  </si>
  <si>
    <t xml:space="preserve"> المبيعات</t>
  </si>
  <si>
    <t>عدد الطلبات</t>
  </si>
  <si>
    <t>عدد العملاء</t>
  </si>
  <si>
    <t>متوسط سعر البيع</t>
  </si>
  <si>
    <t>sales over time</t>
  </si>
  <si>
    <t>Jul</t>
  </si>
  <si>
    <t>month</t>
  </si>
  <si>
    <t>اوسكار ريتن</t>
  </si>
  <si>
    <t>كيمت</t>
  </si>
  <si>
    <t xml:space="preserve">المنصات </t>
  </si>
  <si>
    <t>sales by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</si>
</sst>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2000000]dd/mm/yyyy"/>
    <numFmt numFmtId="165" formatCode="[$-2000401]0"/>
    <numFmt numFmtId="166" formatCode="_-* #,##0_-;\-* #,##0_-;_-* &quot;-&quot;??_-;_-@_-"/>
  </numFmts>
  <fonts count="28" x14ac:knownFonts="1">
    <font>
      <sz val="11"/>
      <color theme="1"/>
      <name val="Calibri"/>
      <family val="2"/>
      <scheme val="minor"/>
    </font>
    <font>
      <b/>
      <sz val="12"/>
      <color theme="1"/>
      <name val="Calibri"/>
      <family val="2"/>
      <scheme val="minor"/>
    </font>
    <font>
      <sz val="11"/>
      <name val="Calibri"/>
      <family val="2"/>
      <scheme val="minor"/>
    </font>
    <font>
      <sz val="10"/>
      <color rgb="FF4D4D4D"/>
      <name val="Arial"/>
      <family val="2"/>
    </font>
    <font>
      <sz val="10"/>
      <color rgb="FF898989"/>
      <name val="Arial"/>
      <family val="2"/>
    </font>
    <font>
      <sz val="9"/>
      <color rgb="FF52525B"/>
      <name val="Arial"/>
      <family val="2"/>
    </font>
    <font>
      <sz val="9"/>
      <color rgb="FF52525B"/>
      <name val="Arial"/>
      <family val="2"/>
    </font>
    <font>
      <sz val="10"/>
      <name val="Arial"/>
      <family val="2"/>
    </font>
    <font>
      <sz val="16"/>
      <color theme="1"/>
      <name val="Calibri"/>
      <family val="2"/>
      <scheme val="minor"/>
    </font>
    <font>
      <sz val="9"/>
      <color rgb="FF52525B"/>
      <name val="Arial"/>
      <family val="2"/>
    </font>
    <font>
      <b/>
      <sz val="11"/>
      <color theme="1"/>
      <name val="Calibri"/>
      <family val="2"/>
      <scheme val="minor"/>
    </font>
    <font>
      <sz val="14"/>
      <color rgb="FF898989"/>
      <name val="Arial"/>
      <family val="2"/>
    </font>
    <font>
      <sz val="9"/>
      <color rgb="FF52525B"/>
      <name val="Arial"/>
      <family val="2"/>
    </font>
    <font>
      <sz val="9"/>
      <color rgb="FF52525B"/>
      <name val="Arial"/>
      <family val="2"/>
    </font>
    <font>
      <sz val="10"/>
      <color theme="1"/>
      <name val="Arial"/>
      <family val="2"/>
    </font>
    <font>
      <sz val="9"/>
      <color rgb="FF52525B"/>
      <name val="Arial"/>
      <family val="2"/>
    </font>
    <font>
      <sz val="9"/>
      <color rgb="FF52525B"/>
      <name val="Arial"/>
      <family val="2"/>
    </font>
    <font>
      <b/>
      <sz val="14"/>
      <color theme="4" tint="-0.249977111117893"/>
      <name val="Times New Roman"/>
      <family val="1"/>
    </font>
    <font>
      <b/>
      <sz val="20"/>
      <color rgb="FFFF0000"/>
      <name val="Times New Roman"/>
      <family val="1"/>
    </font>
    <font>
      <b/>
      <sz val="14"/>
      <color theme="1"/>
      <name val="Calibri"/>
      <family val="2"/>
      <scheme val="minor"/>
    </font>
    <font>
      <sz val="11"/>
      <color theme="1"/>
      <name val="Times New Roman"/>
      <family val="1"/>
    </font>
    <font>
      <b/>
      <sz val="12"/>
      <color theme="1"/>
      <name val="Times New Roman"/>
      <family val="1"/>
    </font>
    <font>
      <b/>
      <sz val="14"/>
      <color theme="1"/>
      <name val="Times New Roman"/>
      <family val="1"/>
    </font>
    <font>
      <b/>
      <sz val="11"/>
      <color theme="1"/>
      <name val="Times New Roman"/>
      <family val="1"/>
    </font>
    <font>
      <sz val="8"/>
      <name val="Calibri"/>
      <family val="2"/>
      <scheme val="minor"/>
    </font>
    <font>
      <sz val="12"/>
      <color theme="1"/>
      <name val="Calibri"/>
      <family val="2"/>
      <scheme val="minor"/>
    </font>
    <font>
      <sz val="14"/>
      <color theme="1"/>
      <name val="Calibri"/>
      <family val="2"/>
      <scheme val="minor"/>
    </font>
    <font>
      <sz val="28"/>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rgb="FFFF0000"/>
        <bgColor indexed="64"/>
      </patternFill>
    </fill>
    <fill>
      <patternFill patternType="solid">
        <fgColor theme="7" tint="0.39997558519241921"/>
        <bgColor indexed="64"/>
      </patternFill>
    </fill>
    <fill>
      <patternFill patternType="solid">
        <fgColor theme="9"/>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07">
    <xf numFmtId="0" fontId="0" fillId="0" borderId="0" xfId="0"/>
    <xf numFmtId="0" fontId="0" fillId="0" borderId="0" xfId="0" applyAlignment="1">
      <alignment horizontal="right" vertical="center"/>
    </xf>
    <xf numFmtId="0" fontId="0" fillId="0" borderId="1" xfId="0" applyBorder="1" applyAlignment="1">
      <alignment horizontal="right" vertical="center"/>
    </xf>
    <xf numFmtId="2" fontId="0" fillId="0" borderId="1" xfId="0" applyNumberFormat="1" applyBorder="1" applyAlignment="1">
      <alignment horizontal="right" vertical="center"/>
    </xf>
    <xf numFmtId="2" fontId="0" fillId="0" borderId="0" xfId="0" applyNumberFormat="1" applyAlignment="1">
      <alignment horizontal="right" vertical="center"/>
    </xf>
    <xf numFmtId="0" fontId="0" fillId="2" borderId="1" xfId="0" applyFill="1" applyBorder="1" applyAlignment="1">
      <alignment horizontal="right" vertical="center"/>
    </xf>
    <xf numFmtId="0" fontId="0" fillId="2" borderId="2" xfId="0" applyFill="1" applyBorder="1" applyAlignment="1">
      <alignment horizontal="right" vertical="center"/>
    </xf>
    <xf numFmtId="0" fontId="0" fillId="3" borderId="1" xfId="0" applyFill="1" applyBorder="1" applyAlignment="1">
      <alignment horizontal="right" vertical="center"/>
    </xf>
    <xf numFmtId="0" fontId="0" fillId="3" borderId="1" xfId="0" applyFill="1" applyBorder="1" applyAlignment="1">
      <alignment horizontal="center" vertical="center"/>
    </xf>
    <xf numFmtId="2" fontId="0" fillId="3" borderId="1" xfId="0" applyNumberFormat="1" applyFill="1" applyBorder="1" applyAlignment="1">
      <alignment horizontal="right" vertical="center"/>
    </xf>
    <xf numFmtId="0" fontId="0" fillId="4" borderId="1" xfId="0" applyFill="1" applyBorder="1" applyAlignment="1">
      <alignment horizontal="right" vertical="center"/>
    </xf>
    <xf numFmtId="0" fontId="0" fillId="4" borderId="1" xfId="0" applyFill="1" applyBorder="1" applyAlignment="1">
      <alignment horizontal="center" vertical="center"/>
    </xf>
    <xf numFmtId="2" fontId="0" fillId="4" borderId="1" xfId="0" applyNumberFormat="1" applyFill="1" applyBorder="1" applyAlignment="1">
      <alignment horizontal="right" vertical="center"/>
    </xf>
    <xf numFmtId="14" fontId="0" fillId="3" borderId="1" xfId="0" applyNumberFormat="1" applyFill="1" applyBorder="1" applyAlignment="1">
      <alignment horizontal="right" vertical="center"/>
    </xf>
    <xf numFmtId="0" fontId="3" fillId="3" borderId="1" xfId="0" applyFont="1" applyFill="1" applyBorder="1" applyAlignment="1">
      <alignment horizontal="center"/>
    </xf>
    <xf numFmtId="0" fontId="0" fillId="3" borderId="2" xfId="0" applyFill="1" applyBorder="1" applyAlignment="1">
      <alignment horizontal="right" vertical="center"/>
    </xf>
    <xf numFmtId="2" fontId="0" fillId="3" borderId="1" xfId="0" applyNumberFormat="1" applyFill="1" applyBorder="1" applyAlignment="1">
      <alignment horizontal="center" vertical="center"/>
    </xf>
    <xf numFmtId="14" fontId="0" fillId="3" borderId="1" xfId="0" applyNumberFormat="1" applyFill="1" applyBorder="1" applyAlignment="1">
      <alignment horizontal="center" vertical="center"/>
    </xf>
    <xf numFmtId="0" fontId="3" fillId="3" borderId="0" xfId="0" applyFont="1" applyFill="1"/>
    <xf numFmtId="0" fontId="0" fillId="5" borderId="2" xfId="0" applyFill="1" applyBorder="1" applyAlignment="1">
      <alignment horizontal="right" vertical="center"/>
    </xf>
    <xf numFmtId="0" fontId="0" fillId="6" borderId="3" xfId="0" applyFill="1" applyBorder="1" applyAlignment="1">
      <alignment horizontal="right" vertical="center"/>
    </xf>
    <xf numFmtId="0" fontId="0" fillId="6" borderId="1" xfId="0" applyFill="1" applyBorder="1" applyAlignment="1">
      <alignment horizontal="right" vertical="center"/>
    </xf>
    <xf numFmtId="2" fontId="0" fillId="6" borderId="3" xfId="0" applyNumberFormat="1" applyFill="1" applyBorder="1" applyAlignment="1">
      <alignment horizontal="right" vertical="center"/>
    </xf>
    <xf numFmtId="164" fontId="0" fillId="6" borderId="3" xfId="0" applyNumberFormat="1" applyFill="1" applyBorder="1" applyAlignment="1">
      <alignment horizontal="right" vertical="center"/>
    </xf>
    <xf numFmtId="2" fontId="0" fillId="6" borderId="1" xfId="0" applyNumberFormat="1" applyFill="1" applyBorder="1" applyAlignment="1">
      <alignment horizontal="right" vertical="center"/>
    </xf>
    <xf numFmtId="164" fontId="0" fillId="6" borderId="1" xfId="0" applyNumberFormat="1" applyFill="1" applyBorder="1" applyAlignment="1">
      <alignment horizontal="right" vertical="center"/>
    </xf>
    <xf numFmtId="14" fontId="0" fillId="6" borderId="1" xfId="0" applyNumberFormat="1" applyFill="1" applyBorder="1" applyAlignment="1">
      <alignment horizontal="right" vertical="center"/>
    </xf>
    <xf numFmtId="14" fontId="0" fillId="4" borderId="1" xfId="0" applyNumberFormat="1" applyFill="1" applyBorder="1" applyAlignment="1">
      <alignment horizontal="right" vertical="center"/>
    </xf>
    <xf numFmtId="0" fontId="0" fillId="6" borderId="1" xfId="0" applyFill="1" applyBorder="1" applyAlignment="1">
      <alignment horizontal="center" vertical="center"/>
    </xf>
    <xf numFmtId="0" fontId="0" fillId="6" borderId="0" xfId="0" applyFill="1" applyAlignment="1">
      <alignment horizontal="right" vertical="center"/>
    </xf>
    <xf numFmtId="14" fontId="0" fillId="6" borderId="3" xfId="0" applyNumberFormat="1" applyFill="1" applyBorder="1" applyAlignment="1">
      <alignment horizontal="right" vertical="center"/>
    </xf>
    <xf numFmtId="0" fontId="3" fillId="6" borderId="1" xfId="0" applyFont="1" applyFill="1" applyBorder="1" applyAlignment="1">
      <alignment horizontal="center"/>
    </xf>
    <xf numFmtId="0" fontId="0" fillId="6" borderId="2" xfId="0" applyFill="1" applyBorder="1" applyAlignment="1">
      <alignment horizontal="right" vertical="center"/>
    </xf>
    <xf numFmtId="2" fontId="0" fillId="6" borderId="1" xfId="0" applyNumberFormat="1" applyFill="1" applyBorder="1" applyAlignment="1">
      <alignment horizontal="center" vertical="center"/>
    </xf>
    <xf numFmtId="14" fontId="0" fillId="6" borderId="1" xfId="0" applyNumberFormat="1" applyFill="1" applyBorder="1" applyAlignment="1">
      <alignment horizontal="center" vertical="center"/>
    </xf>
    <xf numFmtId="0" fontId="2" fillId="3" borderId="1" xfId="0" applyFont="1" applyFill="1" applyBorder="1" applyAlignment="1">
      <alignment horizontal="center" vertical="center"/>
    </xf>
    <xf numFmtId="14" fontId="2" fillId="3" borderId="1" xfId="0" applyNumberFormat="1" applyFont="1" applyFill="1" applyBorder="1" applyAlignment="1">
      <alignment horizontal="center" vertical="center"/>
    </xf>
    <xf numFmtId="0" fontId="3" fillId="4" borderId="1" xfId="0" applyFont="1" applyFill="1" applyBorder="1" applyAlignment="1">
      <alignment horizontal="center"/>
    </xf>
    <xf numFmtId="0" fontId="0" fillId="4" borderId="2" xfId="0" applyFill="1" applyBorder="1" applyAlignment="1">
      <alignment horizontal="right" vertical="center"/>
    </xf>
    <xf numFmtId="2" fontId="0" fillId="4" borderId="1" xfId="0" applyNumberFormat="1" applyFill="1" applyBorder="1" applyAlignment="1">
      <alignment horizontal="center" vertical="center"/>
    </xf>
    <xf numFmtId="14" fontId="0" fillId="4" borderId="1" xfId="0" applyNumberFormat="1" applyFill="1" applyBorder="1" applyAlignment="1">
      <alignment horizontal="center" vertical="center"/>
    </xf>
    <xf numFmtId="0" fontId="2" fillId="6" borderId="1" xfId="0" applyFont="1" applyFill="1" applyBorder="1" applyAlignment="1">
      <alignment horizontal="center" vertical="center"/>
    </xf>
    <xf numFmtId="0" fontId="2" fillId="6" borderId="2" xfId="0" applyFont="1" applyFill="1" applyBorder="1" applyAlignment="1">
      <alignment horizontal="right" vertical="center"/>
    </xf>
    <xf numFmtId="2" fontId="2" fillId="6" borderId="1" xfId="0" applyNumberFormat="1" applyFont="1" applyFill="1" applyBorder="1" applyAlignment="1">
      <alignment horizontal="center" vertical="center"/>
    </xf>
    <xf numFmtId="14" fontId="2" fillId="6" borderId="1" xfId="0" applyNumberFormat="1" applyFont="1" applyFill="1" applyBorder="1" applyAlignment="1">
      <alignment horizontal="center" vertical="center"/>
    </xf>
    <xf numFmtId="2" fontId="2" fillId="4"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0" fontId="7" fillId="6" borderId="1" xfId="0" applyFont="1" applyFill="1" applyBorder="1" applyAlignment="1">
      <alignment horizontal="center"/>
    </xf>
    <xf numFmtId="0" fontId="5" fillId="3" borderId="0" xfId="0" applyFont="1" applyFill="1" applyAlignment="1">
      <alignment wrapText="1"/>
    </xf>
    <xf numFmtId="0" fontId="8" fillId="6" borderId="0" xfId="0" applyFont="1" applyFill="1"/>
    <xf numFmtId="0" fontId="10" fillId="6" borderId="1" xfId="0" applyFont="1" applyFill="1" applyBorder="1" applyAlignment="1">
      <alignment horizontal="center" vertical="center"/>
    </xf>
    <xf numFmtId="0" fontId="9" fillId="6" borderId="0" xfId="0" applyFont="1" applyFill="1" applyAlignment="1">
      <alignment wrapText="1"/>
    </xf>
    <xf numFmtId="0" fontId="4" fillId="6" borderId="1" xfId="0" applyFont="1" applyFill="1" applyBorder="1" applyAlignment="1">
      <alignment horizontal="center"/>
    </xf>
    <xf numFmtId="0" fontId="2" fillId="4" borderId="1" xfId="0" applyFont="1" applyFill="1" applyBorder="1" applyAlignment="1">
      <alignment horizontal="center" vertical="center"/>
    </xf>
    <xf numFmtId="0" fontId="2" fillId="4" borderId="2" xfId="0" applyFont="1" applyFill="1" applyBorder="1" applyAlignment="1">
      <alignment horizontal="right" vertical="center"/>
    </xf>
    <xf numFmtId="0" fontId="6" fillId="6" borderId="0" xfId="0" applyFont="1" applyFill="1" applyAlignment="1">
      <alignment wrapText="1"/>
    </xf>
    <xf numFmtId="0" fontId="11" fillId="6" borderId="0" xfId="0" applyFont="1" applyFill="1" applyAlignment="1">
      <alignment wrapText="1"/>
    </xf>
    <xf numFmtId="165" fontId="0" fillId="6" borderId="1" xfId="0" applyNumberFormat="1" applyFill="1" applyBorder="1" applyAlignment="1">
      <alignment horizontal="right" vertical="center"/>
    </xf>
    <xf numFmtId="0" fontId="11" fillId="0" borderId="0" xfId="0" applyFont="1" applyAlignment="1">
      <alignment wrapText="1"/>
    </xf>
    <xf numFmtId="2" fontId="2" fillId="3" borderId="1" xfId="0" applyNumberFormat="1" applyFont="1" applyFill="1" applyBorder="1" applyAlignment="1">
      <alignment horizontal="center" vertical="center"/>
    </xf>
    <xf numFmtId="0" fontId="12" fillId="6" borderId="0" xfId="0" applyFont="1" applyFill="1" applyAlignment="1">
      <alignment wrapText="1"/>
    </xf>
    <xf numFmtId="0" fontId="12" fillId="3" borderId="0" xfId="0" applyFont="1" applyFill="1" applyAlignment="1">
      <alignment wrapText="1"/>
    </xf>
    <xf numFmtId="14" fontId="0" fillId="0" borderId="1" xfId="0" applyNumberFormat="1" applyBorder="1" applyAlignment="1">
      <alignment horizontal="right" vertical="center"/>
    </xf>
    <xf numFmtId="0" fontId="13" fillId="6" borderId="0" xfId="0" applyFont="1" applyFill="1" applyAlignment="1">
      <alignment wrapText="1"/>
    </xf>
    <xf numFmtId="0" fontId="14" fillId="6" borderId="0" xfId="0" applyFont="1" applyFill="1" applyAlignment="1">
      <alignment wrapText="1"/>
    </xf>
    <xf numFmtId="0" fontId="15" fillId="6" borderId="0" xfId="0" applyFont="1" applyFill="1" applyAlignment="1">
      <alignment wrapText="1"/>
    </xf>
    <xf numFmtId="0" fontId="0" fillId="3" borderId="0" xfId="0" applyFill="1" applyAlignment="1">
      <alignment horizontal="right" vertical="center"/>
    </xf>
    <xf numFmtId="0" fontId="11" fillId="3" borderId="0" xfId="0" applyFont="1" applyFill="1" applyAlignment="1">
      <alignment wrapText="1"/>
    </xf>
    <xf numFmtId="165" fontId="0" fillId="3" borderId="1" xfId="0" applyNumberFormat="1" applyFill="1" applyBorder="1" applyAlignment="1">
      <alignment horizontal="right" vertical="center"/>
    </xf>
    <xf numFmtId="0" fontId="16" fillId="6" borderId="0" xfId="0" applyFont="1" applyFill="1" applyAlignment="1">
      <alignment wrapText="1"/>
    </xf>
    <xf numFmtId="0" fontId="10" fillId="0" borderId="0" xfId="0" applyFont="1"/>
    <xf numFmtId="0" fontId="1"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1" fillId="0" borderId="0" xfId="0" applyFont="1" applyAlignment="1">
      <alignment horizontal="right" indent="2"/>
    </xf>
    <xf numFmtId="0" fontId="0" fillId="6" borderId="4" xfId="0" applyFill="1" applyBorder="1" applyAlignment="1">
      <alignment horizontal="right" vertical="center"/>
    </xf>
    <xf numFmtId="0" fontId="0" fillId="3" borderId="2" xfId="0" applyFill="1" applyBorder="1" applyAlignment="1">
      <alignment horizontal="center" vertical="center"/>
    </xf>
    <xf numFmtId="0" fontId="0" fillId="4" borderId="2" xfId="0" applyFill="1" applyBorder="1" applyAlignment="1">
      <alignment horizontal="center" vertical="center"/>
    </xf>
    <xf numFmtId="0" fontId="0" fillId="6" borderId="2" xfId="0" applyFill="1" applyBorder="1" applyAlignment="1">
      <alignment horizontal="center" vertical="center"/>
    </xf>
    <xf numFmtId="0" fontId="2" fillId="4" borderId="2" xfId="0" applyFont="1" applyFill="1" applyBorder="1" applyAlignment="1">
      <alignment horizontal="center" vertical="center"/>
    </xf>
    <xf numFmtId="0" fontId="2" fillId="6" borderId="2" xfId="0" applyFont="1" applyFill="1" applyBorder="1" applyAlignment="1">
      <alignment horizontal="center" vertical="center"/>
    </xf>
    <xf numFmtId="0" fontId="0" fillId="0" borderId="2" xfId="0" applyBorder="1" applyAlignment="1">
      <alignment horizontal="right" vertical="center"/>
    </xf>
    <xf numFmtId="0" fontId="1" fillId="2" borderId="4"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right" vertical="center"/>
    </xf>
    <xf numFmtId="2" fontId="1" fillId="2" borderId="3" xfId="0" applyNumberFormat="1" applyFont="1" applyFill="1"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6" borderId="3" xfId="0" applyFill="1" applyBorder="1" applyAlignment="1">
      <alignment horizontal="center" vertical="center"/>
    </xf>
    <xf numFmtId="14" fontId="0" fillId="0" borderId="0" xfId="0" applyNumberFormat="1" applyAlignment="1">
      <alignment horizontal="center" vertical="center"/>
    </xf>
    <xf numFmtId="0" fontId="0" fillId="7" borderId="0" xfId="0" applyFill="1"/>
    <xf numFmtId="166" fontId="0" fillId="0" borderId="0" xfId="0" applyNumberFormat="1"/>
    <xf numFmtId="0" fontId="0" fillId="0" borderId="0" xfId="0" pivotButton="1"/>
    <xf numFmtId="0" fontId="0" fillId="0" borderId="0" xfId="0" applyAlignment="1">
      <alignment horizontal="left"/>
    </xf>
    <xf numFmtId="3" fontId="0" fillId="0" borderId="0" xfId="0" applyNumberFormat="1"/>
    <xf numFmtId="166" fontId="25" fillId="0" borderId="0" xfId="0" applyNumberFormat="1" applyFont="1" applyAlignment="1">
      <alignment horizontal="center" vertical="center"/>
    </xf>
    <xf numFmtId="166" fontId="26" fillId="0" borderId="0" xfId="0" applyNumberFormat="1" applyFont="1"/>
    <xf numFmtId="0" fontId="25" fillId="0" borderId="0" xfId="0" applyFont="1"/>
    <xf numFmtId="9" fontId="0" fillId="0" borderId="0" xfId="0" applyNumberFormat="1"/>
    <xf numFmtId="0" fontId="27" fillId="7" borderId="0" xfId="0" applyFont="1" applyFill="1" applyAlignment="1">
      <alignment horizontal="center" vertical="center"/>
    </xf>
    <xf numFmtId="0" fontId="0" fillId="0" borderId="0" xfId="0" applyNumberFormat="1"/>
  </cellXfs>
  <cellStyles count="1">
    <cellStyle name="Normal" xfId="0" builtinId="0"/>
  </cellStyles>
  <dxfs count="79">
    <dxf>
      <numFmt numFmtId="14" formatCode="0.00%"/>
    </dxf>
    <dxf>
      <numFmt numFmtId="13" formatCode="0%"/>
    </dxf>
    <dxf>
      <numFmt numFmtId="166" formatCode="_-* #,##0_-;\-* #,##0_-;_-* &quot;-&quot;??_-;_-@_-"/>
    </dxf>
    <dxf>
      <numFmt numFmtId="166" formatCode="_-* #,##0_-;\-* #,##0_-;_-* &quot;-&quot;??_-;_-@_-"/>
    </dxf>
    <dxf>
      <alignment vertical="center"/>
    </dxf>
    <dxf>
      <alignment horizontal="center"/>
    </dxf>
    <dxf>
      <font>
        <sz val="12"/>
      </font>
    </dxf>
    <dxf>
      <numFmt numFmtId="14" formatCode="0.00%"/>
    </dxf>
    <dxf>
      <numFmt numFmtId="13" formatCode="0%"/>
    </dxf>
    <dxf>
      <numFmt numFmtId="166" formatCode="_-* #,##0_-;\-* #,##0_-;_-* &quot;-&quot;??_-;_-@_-"/>
    </dxf>
    <dxf>
      <numFmt numFmtId="166" formatCode="_-* #,##0_-;\-* #,##0_-;_-* &quot;-&quot;??_-;_-@_-"/>
    </dxf>
    <dxf>
      <alignment vertical="center"/>
    </dxf>
    <dxf>
      <alignment horizontal="center"/>
    </dxf>
    <dxf>
      <font>
        <sz val="12"/>
      </font>
    </dxf>
    <dxf>
      <numFmt numFmtId="14" formatCode="0.00%"/>
    </dxf>
    <dxf>
      <numFmt numFmtId="13" formatCode="0%"/>
    </dxf>
    <dxf>
      <numFmt numFmtId="166" formatCode="_-* #,##0_-;\-* #,##0_-;_-* &quot;-&quot;??_-;_-@_-"/>
    </dxf>
    <dxf>
      <numFmt numFmtId="166" formatCode="_-* #,##0_-;\-* #,##0_-;_-* &quot;-&quot;??_-;_-@_-"/>
    </dxf>
    <dxf>
      <alignment vertical="center"/>
    </dxf>
    <dxf>
      <alignment horizontal="center"/>
    </dxf>
    <dxf>
      <font>
        <sz val="12"/>
      </font>
    </dxf>
    <dxf>
      <numFmt numFmtId="14" formatCode="0.00%"/>
    </dxf>
    <dxf>
      <numFmt numFmtId="13" formatCode="0%"/>
    </dxf>
    <dxf>
      <numFmt numFmtId="166" formatCode="_-* #,##0_-;\-* #,##0_-;_-* &quot;-&quot;??_-;_-@_-"/>
    </dxf>
    <dxf>
      <numFmt numFmtId="166" formatCode="_-* #,##0_-;\-* #,##0_-;_-* &quot;-&quot;??_-;_-@_-"/>
    </dxf>
    <dxf>
      <alignment vertical="center"/>
    </dxf>
    <dxf>
      <alignment horizontal="center"/>
    </dxf>
    <dxf>
      <font>
        <sz val="12"/>
      </font>
    </dxf>
    <dxf>
      <font>
        <sz val="12"/>
      </font>
    </dxf>
    <dxf>
      <alignment horizontal="center"/>
    </dxf>
    <dxf>
      <alignment vertical="center"/>
    </dxf>
    <dxf>
      <numFmt numFmtId="166" formatCode="_-* #,##0_-;\-* #,##0_-;_-* &quot;-&quot;??_-;_-@_-"/>
    </dxf>
    <dxf>
      <numFmt numFmtId="166" formatCode="_-* #,##0_-;\-* #,##0_-;_-* &quot;-&quot;??_-;_-@_-"/>
    </dxf>
    <dxf>
      <numFmt numFmtId="13" formatCode="0%"/>
    </dxf>
    <dxf>
      <numFmt numFmtId="14" formatCode="0.00%"/>
    </dxf>
    <dxf>
      <numFmt numFmtId="0" formatCode="General"/>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9"/>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9"/>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9"/>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fill>
        <patternFill patternType="solid">
          <fgColor indexed="64"/>
          <bgColor theme="9"/>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patternFill>
      </fill>
      <alignment horizontal="righ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fill>
        <patternFill patternType="solid">
          <fgColor indexed="64"/>
          <bgColor theme="9"/>
        </patternFill>
      </fill>
      <alignment horizontal="righ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z val="18"/>
        <color rgb="FFF2F2F2"/>
      </font>
      <fill>
        <patternFill>
          <bgColor rgb="FF1B2A49"/>
        </patternFill>
      </fill>
    </dxf>
    <dxf>
      <font>
        <sz val="18"/>
        <color rgb="FFF2F2F2"/>
      </font>
      <fill>
        <patternFill>
          <bgColor rgb="FF1B2A49"/>
        </patternFill>
      </fill>
    </dxf>
    <dxf>
      <font>
        <sz val="16"/>
      </font>
      <fill>
        <patternFill>
          <bgColor rgb="FF182540"/>
        </patternFill>
      </fill>
    </dxf>
    <dxf>
      <font>
        <sz val="14"/>
      </font>
      <fill>
        <patternFill>
          <bgColor rgb="FF1B2A49"/>
        </patternFill>
      </fill>
      <border diagonalUp="0" diagonalDown="0">
        <left/>
        <right/>
        <top/>
        <bottom/>
        <vertical/>
        <horizontal/>
      </border>
    </dxf>
  </dxfs>
  <tableStyles count="5" defaultTableStyle="TableStyleMedium2" defaultPivotStyle="PivotStyleLight16">
    <tableStyle name="Invisible" pivot="0" table="0" count="0" xr9:uid="{AA73528B-8D85-432A-9172-AA70B5E8C669}"/>
    <tableStyle name="Slicer Style 1" pivot="0" table="0" count="1" xr9:uid="{ADDBE9DA-F076-4B95-9444-57BE735B078C}">
      <tableStyleElement type="wholeTable" dxfId="78"/>
    </tableStyle>
    <tableStyle name="Slicer Style 2" pivot="0" table="0" count="1" xr9:uid="{8D03E7FA-38C1-4FBC-91A2-A37D04ED22D2}">
      <tableStyleElement type="wholeTable" dxfId="77"/>
    </tableStyle>
    <tableStyle name="Slicer Style 3" pivot="0" table="0" count="1" xr9:uid="{6A898832-BA7E-40ED-A8AC-6C57584F6DB1}">
      <tableStyleElement type="wholeTable" dxfId="76"/>
    </tableStyle>
    <tableStyle name="Slicer Style 4" pivot="0" table="0" count="1" xr9:uid="{4B35E75C-9F3D-4BAC-8D9B-A122F939F03E}">
      <tableStyleElement type="wholeTable" dxfId="75"/>
    </tableStyle>
  </tableStyles>
  <colors>
    <mruColors>
      <color rgb="FFF2F2F2"/>
      <color rgb="FF1B2A49"/>
      <color rgb="FF182540"/>
      <color rgb="FF590202"/>
      <color rgb="FFA60311"/>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MohamedAhmedAliEwida.xlsx]pivot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over Time</a:t>
            </a:r>
          </a:p>
        </c:rich>
      </c:tx>
      <c:layout>
        <c:manualLayout>
          <c:xMode val="edge"/>
          <c:yMode val="edge"/>
          <c:x val="0.29940464258765337"/>
          <c:y val="3.33333333333333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A6031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table'!$AM$5</c:f>
              <c:strCache>
                <c:ptCount val="1"/>
                <c:pt idx="0">
                  <c:v>Total</c:v>
                </c:pt>
              </c:strCache>
            </c:strRef>
          </c:tx>
          <c:spPr>
            <a:ln w="28575" cap="rnd">
              <a:solidFill>
                <a:srgbClr val="A6031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table'!$AL$6:$AL$12</c:f>
              <c:strCache>
                <c:ptCount val="6"/>
                <c:pt idx="0">
                  <c:v>Jul</c:v>
                </c:pt>
                <c:pt idx="1">
                  <c:v>Aug</c:v>
                </c:pt>
                <c:pt idx="2">
                  <c:v>Sep</c:v>
                </c:pt>
                <c:pt idx="3">
                  <c:v>Oct</c:v>
                </c:pt>
                <c:pt idx="4">
                  <c:v>Nov</c:v>
                </c:pt>
                <c:pt idx="5">
                  <c:v>Dec</c:v>
                </c:pt>
              </c:strCache>
            </c:strRef>
          </c:cat>
          <c:val>
            <c:numRef>
              <c:f>'pivot table'!$AM$6:$AM$12</c:f>
              <c:numCache>
                <c:formatCode>#,##0</c:formatCode>
                <c:ptCount val="6"/>
                <c:pt idx="0">
                  <c:v>31775</c:v>
                </c:pt>
                <c:pt idx="1">
                  <c:v>105253</c:v>
                </c:pt>
                <c:pt idx="2">
                  <c:v>670451</c:v>
                </c:pt>
                <c:pt idx="3">
                  <c:v>228727.81544000001</c:v>
                </c:pt>
                <c:pt idx="4">
                  <c:v>184971</c:v>
                </c:pt>
                <c:pt idx="5">
                  <c:v>71008</c:v>
                </c:pt>
              </c:numCache>
            </c:numRef>
          </c:val>
          <c:smooth val="1"/>
          <c:extLst>
            <c:ext xmlns:c16="http://schemas.microsoft.com/office/drawing/2014/chart" uri="{C3380CC4-5D6E-409C-BE32-E72D297353CC}">
              <c16:uniqueId val="{00000000-41F7-4210-A3A4-47CD3692F294}"/>
            </c:ext>
          </c:extLst>
        </c:ser>
        <c:dLbls>
          <c:dLblPos val="t"/>
          <c:showLegendKey val="0"/>
          <c:showVal val="1"/>
          <c:showCatName val="0"/>
          <c:showSerName val="0"/>
          <c:showPercent val="0"/>
          <c:showBubbleSize val="0"/>
        </c:dLbls>
        <c:smooth val="0"/>
        <c:axId val="1136330336"/>
        <c:axId val="1136322656"/>
      </c:lineChart>
      <c:catAx>
        <c:axId val="1136330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36322656"/>
        <c:crosses val="autoZero"/>
        <c:auto val="1"/>
        <c:lblAlgn val="ctr"/>
        <c:lblOffset val="100"/>
        <c:noMultiLvlLbl val="0"/>
      </c:catAx>
      <c:valAx>
        <c:axId val="1136322656"/>
        <c:scaling>
          <c:orientation val="minMax"/>
        </c:scaling>
        <c:delete val="1"/>
        <c:axPos val="l"/>
        <c:numFmt formatCode="#,##0" sourceLinked="1"/>
        <c:majorTickMark val="out"/>
        <c:minorTickMark val="none"/>
        <c:tickLblPos val="nextTo"/>
        <c:crossAx val="113633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MohamedAhmedAliEwida.xlsx]pivot table!PivotTable8</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 Paltform</a:t>
            </a:r>
          </a:p>
        </c:rich>
      </c:tx>
      <c:layout>
        <c:manualLayout>
          <c:xMode val="edge"/>
          <c:yMode val="edge"/>
          <c:x val="0.30928113112199246"/>
          <c:y val="6.54497234439396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603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522009230424098E-2"/>
          <c:y val="4.0255905511811015E-3"/>
          <c:w val="0.94192585301837273"/>
          <c:h val="0.82224936553839523"/>
        </c:manualLayout>
      </c:layout>
      <c:barChart>
        <c:barDir val="col"/>
        <c:grouping val="clustered"/>
        <c:varyColors val="0"/>
        <c:ser>
          <c:idx val="0"/>
          <c:order val="0"/>
          <c:tx>
            <c:strRef>
              <c:f>'pivot table'!$AR$7</c:f>
              <c:strCache>
                <c:ptCount val="1"/>
                <c:pt idx="0">
                  <c:v>Total</c:v>
                </c:pt>
              </c:strCache>
            </c:strRef>
          </c:tx>
          <c:spPr>
            <a:solidFill>
              <a:srgbClr val="A6031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table'!$AQ$8:$AQ$14</c:f>
              <c:strCache>
                <c:ptCount val="7"/>
                <c:pt idx="0">
                  <c:v>هومزمارت</c:v>
                </c:pt>
                <c:pt idx="1">
                  <c:v>تاكى</c:v>
                </c:pt>
                <c:pt idx="2">
                  <c:v>اوسكار ريتن</c:v>
                </c:pt>
                <c:pt idx="3">
                  <c:v>السويس</c:v>
                </c:pt>
                <c:pt idx="4">
                  <c:v>فيسبوك</c:v>
                </c:pt>
                <c:pt idx="5">
                  <c:v>منزلي</c:v>
                </c:pt>
                <c:pt idx="6">
                  <c:v>كيمت</c:v>
                </c:pt>
              </c:strCache>
            </c:strRef>
          </c:cat>
          <c:val>
            <c:numRef>
              <c:f>'pivot table'!$AR$8:$AR$14</c:f>
              <c:numCache>
                <c:formatCode>#,##0</c:formatCode>
                <c:ptCount val="7"/>
                <c:pt idx="0">
                  <c:v>1063608</c:v>
                </c:pt>
                <c:pt idx="1">
                  <c:v>82900</c:v>
                </c:pt>
                <c:pt idx="2">
                  <c:v>68731.91</c:v>
                </c:pt>
                <c:pt idx="3">
                  <c:v>32444.905439999999</c:v>
                </c:pt>
                <c:pt idx="4">
                  <c:v>27450</c:v>
                </c:pt>
                <c:pt idx="5">
                  <c:v>9655</c:v>
                </c:pt>
                <c:pt idx="6">
                  <c:v>7396</c:v>
                </c:pt>
              </c:numCache>
            </c:numRef>
          </c:val>
          <c:extLst>
            <c:ext xmlns:c16="http://schemas.microsoft.com/office/drawing/2014/chart" uri="{C3380CC4-5D6E-409C-BE32-E72D297353CC}">
              <c16:uniqueId val="{00000000-B5B8-45A4-89CA-086700EBBE44}"/>
            </c:ext>
          </c:extLst>
        </c:ser>
        <c:dLbls>
          <c:dLblPos val="outEnd"/>
          <c:showLegendKey val="0"/>
          <c:showVal val="1"/>
          <c:showCatName val="0"/>
          <c:showSerName val="0"/>
          <c:showPercent val="0"/>
          <c:showBubbleSize val="0"/>
        </c:dLbls>
        <c:gapWidth val="219"/>
        <c:overlap val="-27"/>
        <c:axId val="1765962144"/>
        <c:axId val="1765965504"/>
      </c:barChart>
      <c:catAx>
        <c:axId val="176596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65965504"/>
        <c:crosses val="autoZero"/>
        <c:auto val="1"/>
        <c:lblAlgn val="ctr"/>
        <c:lblOffset val="100"/>
        <c:noMultiLvlLbl val="0"/>
      </c:catAx>
      <c:valAx>
        <c:axId val="1765965504"/>
        <c:scaling>
          <c:orientation val="minMax"/>
        </c:scaling>
        <c:delete val="1"/>
        <c:axPos val="l"/>
        <c:numFmt formatCode="#,##0" sourceLinked="1"/>
        <c:majorTickMark val="none"/>
        <c:minorTickMark val="none"/>
        <c:tickLblPos val="nextTo"/>
        <c:crossAx val="176596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MohamedAhmedAliEwida.xlsx]pivot table!PivotTable5</c:name>
    <c:fmtId val="1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a:t>
            </a:r>
            <a:r>
              <a:rPr lang="en-US" baseline="0">
                <a:solidFill>
                  <a:schemeClr val="bg1"/>
                </a:solidFill>
              </a:rPr>
              <a:t> by Product</a:t>
            </a:r>
          </a:p>
        </c:rich>
      </c:tx>
      <c:layout>
        <c:manualLayout>
          <c:xMode val="edge"/>
          <c:yMode val="edge"/>
          <c:x val="0.2136222685979664"/>
          <c:y val="2.91439063562687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603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203607328998562"/>
          <c:y val="0.13632951431507948"/>
          <c:w val="0.61796392671001432"/>
          <c:h val="0.82983859840758389"/>
        </c:manualLayout>
      </c:layout>
      <c:barChart>
        <c:barDir val="bar"/>
        <c:grouping val="clustered"/>
        <c:varyColors val="0"/>
        <c:ser>
          <c:idx val="0"/>
          <c:order val="0"/>
          <c:tx>
            <c:strRef>
              <c:f>'pivot table'!$AA$5</c:f>
              <c:strCache>
                <c:ptCount val="1"/>
                <c:pt idx="0">
                  <c:v>Total</c:v>
                </c:pt>
              </c:strCache>
            </c:strRef>
          </c:tx>
          <c:spPr>
            <a:solidFill>
              <a:srgbClr val="A6031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table'!$Z$6:$Z$20</c:f>
              <c:strCache>
                <c:ptCount val="15"/>
                <c:pt idx="0">
                  <c:v>كنبه t1</c:v>
                </c:pt>
                <c:pt idx="1">
                  <c:v>كرسى فنيسيا</c:v>
                </c:pt>
                <c:pt idx="2">
                  <c:v>شيزلونج</c:v>
                </c:pt>
                <c:pt idx="3">
                  <c:v>كنبه فنيسيا</c:v>
                </c:pt>
                <c:pt idx="4">
                  <c:v>ركنة بسرير</c:v>
                </c:pt>
                <c:pt idx="5">
                  <c:v>تربيزه</c:v>
                </c:pt>
                <c:pt idx="6">
                  <c:v>كنبه سحارة</c:v>
                </c:pt>
                <c:pt idx="7">
                  <c:v>تربيزه دورين</c:v>
                </c:pt>
                <c:pt idx="8">
                  <c:v>تربيزه رف سحاب</c:v>
                </c:pt>
                <c:pt idx="9">
                  <c:v>سرير ثلاثه ادوار</c:v>
                </c:pt>
                <c:pt idx="10">
                  <c:v>تربيزه ٢ ميكانزم</c:v>
                </c:pt>
                <c:pt idx="11">
                  <c:v>سرير منطبق</c:v>
                </c:pt>
                <c:pt idx="12">
                  <c:v>كنبه 4×1</c:v>
                </c:pt>
                <c:pt idx="13">
                  <c:v>سرير فردى</c:v>
                </c:pt>
                <c:pt idx="14">
                  <c:v>سرير دورين</c:v>
                </c:pt>
              </c:strCache>
            </c:strRef>
          </c:cat>
          <c:val>
            <c:numRef>
              <c:f>'pivot table'!$AA$6:$AA$20</c:f>
              <c:numCache>
                <c:formatCode>#,##0</c:formatCode>
                <c:ptCount val="15"/>
                <c:pt idx="0">
                  <c:v>6000</c:v>
                </c:pt>
                <c:pt idx="1">
                  <c:v>9300</c:v>
                </c:pt>
                <c:pt idx="2">
                  <c:v>9300</c:v>
                </c:pt>
                <c:pt idx="3">
                  <c:v>10000</c:v>
                </c:pt>
                <c:pt idx="4">
                  <c:v>22000</c:v>
                </c:pt>
                <c:pt idx="5">
                  <c:v>24940</c:v>
                </c:pt>
                <c:pt idx="6">
                  <c:v>28000</c:v>
                </c:pt>
                <c:pt idx="7">
                  <c:v>31697</c:v>
                </c:pt>
                <c:pt idx="8">
                  <c:v>34076</c:v>
                </c:pt>
                <c:pt idx="9">
                  <c:v>43298</c:v>
                </c:pt>
                <c:pt idx="10">
                  <c:v>60093</c:v>
                </c:pt>
                <c:pt idx="11">
                  <c:v>72265</c:v>
                </c:pt>
                <c:pt idx="12">
                  <c:v>213234</c:v>
                </c:pt>
                <c:pt idx="13">
                  <c:v>242863</c:v>
                </c:pt>
                <c:pt idx="14">
                  <c:v>485119.81543999998</c:v>
                </c:pt>
              </c:numCache>
            </c:numRef>
          </c:val>
          <c:extLst>
            <c:ext xmlns:c16="http://schemas.microsoft.com/office/drawing/2014/chart" uri="{C3380CC4-5D6E-409C-BE32-E72D297353CC}">
              <c16:uniqueId val="{00000000-5653-4FAF-AA03-EF6A99C7AA93}"/>
            </c:ext>
          </c:extLst>
        </c:ser>
        <c:dLbls>
          <c:dLblPos val="outEnd"/>
          <c:showLegendKey val="0"/>
          <c:showVal val="1"/>
          <c:showCatName val="0"/>
          <c:showSerName val="0"/>
          <c:showPercent val="0"/>
          <c:showBubbleSize val="0"/>
        </c:dLbls>
        <c:gapWidth val="182"/>
        <c:axId val="1938553680"/>
        <c:axId val="1938554640"/>
      </c:barChart>
      <c:catAx>
        <c:axId val="19385536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8554640"/>
        <c:crosses val="autoZero"/>
        <c:auto val="1"/>
        <c:lblAlgn val="ctr"/>
        <c:lblOffset val="100"/>
        <c:noMultiLvlLbl val="0"/>
      </c:catAx>
      <c:valAx>
        <c:axId val="1938554640"/>
        <c:scaling>
          <c:orientation val="minMax"/>
        </c:scaling>
        <c:delete val="1"/>
        <c:axPos val="b"/>
        <c:numFmt formatCode="#,##0" sourceLinked="1"/>
        <c:majorTickMark val="out"/>
        <c:minorTickMark val="none"/>
        <c:tickLblPos val="nextTo"/>
        <c:crossAx val="193855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MohamedAhmedAliEwida.xlsx]pivot table!PivotTable6</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deliever status</a:t>
            </a:r>
            <a:r>
              <a:rPr lang="en-US" baseline="0">
                <a:solidFill>
                  <a:schemeClr val="bg1"/>
                </a:solidFill>
              </a:rPr>
              <a:t> by order</a:t>
            </a:r>
          </a:p>
        </c:rich>
      </c:tx>
      <c:layout>
        <c:manualLayout>
          <c:xMode val="edge"/>
          <c:yMode val="edge"/>
          <c:x val="0.1147832020997375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90202"/>
          </a:solidFill>
          <a:ln w="19050">
            <a:solidFill>
              <a:schemeClr val="lt1"/>
            </a:solidFill>
          </a:ln>
          <a:effectLst/>
        </c:spPr>
        <c:dLbl>
          <c:idx val="0"/>
          <c:layout>
            <c:manualLayout>
              <c:x val="-0.18940882389701288"/>
              <c:y val="5.1693978170764807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371428571428567"/>
                  <c:h val="0.13658819311774181"/>
                </c:manualLayout>
              </c15:layout>
            </c:ext>
          </c:extLst>
        </c:dLbl>
      </c:pivotFmt>
      <c:pivotFmt>
        <c:idx val="7"/>
        <c:spPr>
          <a:solidFill>
            <a:srgbClr val="A60311"/>
          </a:solidFill>
          <a:ln w="19050">
            <a:solidFill>
              <a:schemeClr val="lt1"/>
            </a:solidFill>
          </a:ln>
          <a:effectLst/>
        </c:spPr>
        <c:dLbl>
          <c:idx val="0"/>
          <c:layout>
            <c:manualLayout>
              <c:x val="0.23722784651918508"/>
              <c:y val="-0.19900287200775915"/>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555555555555554"/>
                  <c:h val="9.7843107042424854E-2"/>
                </c:manualLayout>
              </c15:layout>
            </c:ext>
          </c:extLst>
        </c:dLbl>
      </c:pivotFmt>
      <c:pivotFmt>
        <c:idx val="8"/>
        <c:spPr>
          <a:solidFill>
            <a:srgbClr val="F2F2F2"/>
          </a:solidFill>
          <a:ln w="19050">
            <a:solidFill>
              <a:schemeClr val="lt1"/>
            </a:solidFill>
          </a:ln>
          <a:effectLst/>
        </c:spPr>
      </c:pivotFmt>
    </c:pivotFmts>
    <c:plotArea>
      <c:layout>
        <c:manualLayout>
          <c:layoutTarget val="inner"/>
          <c:xMode val="edge"/>
          <c:yMode val="edge"/>
          <c:x val="0.12916640419947509"/>
          <c:y val="0.23065547918620377"/>
          <c:w val="0.72833385826771657"/>
          <c:h val="0.42843154904074449"/>
        </c:manualLayout>
      </c:layout>
      <c:pieChart>
        <c:varyColors val="1"/>
        <c:ser>
          <c:idx val="0"/>
          <c:order val="0"/>
          <c:tx>
            <c:strRef>
              <c:f>'pivot table'!$AG$6</c:f>
              <c:strCache>
                <c:ptCount val="1"/>
                <c:pt idx="0">
                  <c:v>Total</c:v>
                </c:pt>
              </c:strCache>
            </c:strRef>
          </c:tx>
          <c:dPt>
            <c:idx val="0"/>
            <c:bubble3D val="0"/>
            <c:spPr>
              <a:solidFill>
                <a:srgbClr val="590202"/>
              </a:solidFill>
              <a:ln w="19050">
                <a:solidFill>
                  <a:schemeClr val="lt1"/>
                </a:solidFill>
              </a:ln>
              <a:effectLst/>
            </c:spPr>
            <c:extLst>
              <c:ext xmlns:c16="http://schemas.microsoft.com/office/drawing/2014/chart" uri="{C3380CC4-5D6E-409C-BE32-E72D297353CC}">
                <c16:uniqueId val="{00000001-C661-4B0F-8B8B-0131ECAA5570}"/>
              </c:ext>
            </c:extLst>
          </c:dPt>
          <c:dPt>
            <c:idx val="1"/>
            <c:bubble3D val="0"/>
            <c:spPr>
              <a:solidFill>
                <a:srgbClr val="A60311"/>
              </a:solidFill>
              <a:ln w="19050">
                <a:solidFill>
                  <a:schemeClr val="lt1"/>
                </a:solidFill>
              </a:ln>
              <a:effectLst/>
            </c:spPr>
            <c:extLst>
              <c:ext xmlns:c16="http://schemas.microsoft.com/office/drawing/2014/chart" uri="{C3380CC4-5D6E-409C-BE32-E72D297353CC}">
                <c16:uniqueId val="{00000003-C661-4B0F-8B8B-0131ECAA5570}"/>
              </c:ext>
            </c:extLst>
          </c:dPt>
          <c:dPt>
            <c:idx val="2"/>
            <c:bubble3D val="0"/>
            <c:spPr>
              <a:solidFill>
                <a:srgbClr val="F2F2F2"/>
              </a:solidFill>
              <a:ln w="19050">
                <a:solidFill>
                  <a:schemeClr val="lt1"/>
                </a:solidFill>
              </a:ln>
              <a:effectLst/>
            </c:spPr>
            <c:extLst>
              <c:ext xmlns:c16="http://schemas.microsoft.com/office/drawing/2014/chart" uri="{C3380CC4-5D6E-409C-BE32-E72D297353CC}">
                <c16:uniqueId val="{00000005-C661-4B0F-8B8B-0131ECAA5570}"/>
              </c:ext>
            </c:extLst>
          </c:dPt>
          <c:dLbls>
            <c:dLbl>
              <c:idx val="0"/>
              <c:layout>
                <c:manualLayout>
                  <c:x val="-0.18940882389701288"/>
                  <c:y val="5.1693978170764807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371428571428567"/>
                      <c:h val="0.13658819311774181"/>
                    </c:manualLayout>
                  </c15:layout>
                </c:ext>
                <c:ext xmlns:c16="http://schemas.microsoft.com/office/drawing/2014/chart" uri="{C3380CC4-5D6E-409C-BE32-E72D297353CC}">
                  <c16:uniqueId val="{00000001-C661-4B0F-8B8B-0131ECAA5570}"/>
                </c:ext>
              </c:extLst>
            </c:dLbl>
            <c:dLbl>
              <c:idx val="1"/>
              <c:layout>
                <c:manualLayout>
                  <c:x val="0.23722784651918508"/>
                  <c:y val="-0.19900287200775915"/>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555555555555554"/>
                      <c:h val="9.7843107042424854E-2"/>
                    </c:manualLayout>
                  </c15:layout>
                </c:ext>
                <c:ext xmlns:c16="http://schemas.microsoft.com/office/drawing/2014/chart" uri="{C3380CC4-5D6E-409C-BE32-E72D297353CC}">
                  <c16:uniqueId val="{00000003-C661-4B0F-8B8B-0131ECAA5570}"/>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table'!$AF$7:$AF$10</c:f>
              <c:strCache>
                <c:ptCount val="3"/>
                <c:pt idx="0">
                  <c:v>في الموعد</c:v>
                </c:pt>
                <c:pt idx="1">
                  <c:v>متاخر</c:v>
                </c:pt>
                <c:pt idx="2">
                  <c:v>ملغي</c:v>
                </c:pt>
              </c:strCache>
            </c:strRef>
          </c:cat>
          <c:val>
            <c:numRef>
              <c:f>'pivot table'!$AG$7:$AG$10</c:f>
              <c:numCache>
                <c:formatCode>0%</c:formatCode>
                <c:ptCount val="3"/>
                <c:pt idx="0">
                  <c:v>0.32539682539682541</c:v>
                </c:pt>
                <c:pt idx="1">
                  <c:v>0.5</c:v>
                </c:pt>
                <c:pt idx="2">
                  <c:v>0.17460317460317459</c:v>
                </c:pt>
              </c:numCache>
            </c:numRef>
          </c:val>
          <c:extLst>
            <c:ext xmlns:c16="http://schemas.microsoft.com/office/drawing/2014/chart" uri="{C3380CC4-5D6E-409C-BE32-E72D297353CC}">
              <c16:uniqueId val="{00000006-C661-4B0F-8B8B-0131ECAA5570}"/>
            </c:ext>
          </c:extLst>
        </c:ser>
        <c:dLbls>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71256609153432404"/>
          <c:w val="0.94691548556430449"/>
          <c:h val="0.2639045039664956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hyperlink" Target="#Misue!A1"/><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212913</xdr:colOff>
      <xdr:row>2</xdr:row>
      <xdr:rowOff>104774</xdr:rowOff>
    </xdr:from>
    <xdr:to>
      <xdr:col>19</xdr:col>
      <xdr:colOff>503154</xdr:colOff>
      <xdr:row>5</xdr:row>
      <xdr:rowOff>15928</xdr:rowOff>
    </xdr:to>
    <xdr:sp macro="" textlink="">
      <xdr:nvSpPr>
        <xdr:cNvPr id="2" name="Rectangle: Rounded Corners 1">
          <a:extLst>
            <a:ext uri="{FF2B5EF4-FFF2-40B4-BE49-F238E27FC236}">
              <a16:creationId xmlns:a16="http://schemas.microsoft.com/office/drawing/2014/main" id="{9E6E73DB-EBB1-DD06-F55D-FFA7DC02F712}"/>
            </a:ext>
          </a:extLst>
        </xdr:cNvPr>
        <xdr:cNvSpPr/>
      </xdr:nvSpPr>
      <xdr:spPr>
        <a:xfrm>
          <a:off x="3238501" y="485774"/>
          <a:ext cx="8761888" cy="482654"/>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bg1"/>
              </a:solidFill>
            </a:rPr>
            <a:t>Misue Sales Dashboard</a:t>
          </a:r>
        </a:p>
      </xdr:txBody>
    </xdr:sp>
    <xdr:clientData/>
  </xdr:twoCellAnchor>
  <xdr:twoCellAnchor>
    <xdr:from>
      <xdr:col>2</xdr:col>
      <xdr:colOff>133350</xdr:colOff>
      <xdr:row>2</xdr:row>
      <xdr:rowOff>104774</xdr:rowOff>
    </xdr:from>
    <xdr:to>
      <xdr:col>5</xdr:col>
      <xdr:colOff>149679</xdr:colOff>
      <xdr:row>29</xdr:row>
      <xdr:rowOff>168088</xdr:rowOff>
    </xdr:to>
    <xdr:sp macro="" textlink="">
      <xdr:nvSpPr>
        <xdr:cNvPr id="4" name="Rectangle: Rounded Corners 3">
          <a:extLst>
            <a:ext uri="{FF2B5EF4-FFF2-40B4-BE49-F238E27FC236}">
              <a16:creationId xmlns:a16="http://schemas.microsoft.com/office/drawing/2014/main" id="{CF5D4367-5E39-B93B-C280-59E2FC706745}"/>
            </a:ext>
          </a:extLst>
        </xdr:cNvPr>
        <xdr:cNvSpPr/>
      </xdr:nvSpPr>
      <xdr:spPr>
        <a:xfrm>
          <a:off x="1343585" y="485774"/>
          <a:ext cx="1831682" cy="5206814"/>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224115</xdr:colOff>
      <xdr:row>5</xdr:row>
      <xdr:rowOff>67235</xdr:rowOff>
    </xdr:from>
    <xdr:to>
      <xdr:col>8</xdr:col>
      <xdr:colOff>525562</xdr:colOff>
      <xdr:row>10</xdr:row>
      <xdr:rowOff>78441</xdr:rowOff>
    </xdr:to>
    <xdr:sp macro="" textlink="">
      <xdr:nvSpPr>
        <xdr:cNvPr id="5" name="Rectangle: Rounded Corners 4">
          <a:extLst>
            <a:ext uri="{FF2B5EF4-FFF2-40B4-BE49-F238E27FC236}">
              <a16:creationId xmlns:a16="http://schemas.microsoft.com/office/drawing/2014/main" id="{F4E7A905-CB5C-7E62-E77A-033DFDE3EF4A}"/>
            </a:ext>
          </a:extLst>
        </xdr:cNvPr>
        <xdr:cNvSpPr/>
      </xdr:nvSpPr>
      <xdr:spPr>
        <a:xfrm>
          <a:off x="2039468" y="638735"/>
          <a:ext cx="2116800" cy="963706"/>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604318</xdr:colOff>
      <xdr:row>6</xdr:row>
      <xdr:rowOff>7203</xdr:rowOff>
    </xdr:from>
    <xdr:to>
      <xdr:col>8</xdr:col>
      <xdr:colOff>167287</xdr:colOff>
      <xdr:row>7</xdr:row>
      <xdr:rowOff>85645</xdr:rowOff>
    </xdr:to>
    <xdr:sp macro="" textlink="">
      <xdr:nvSpPr>
        <xdr:cNvPr id="21" name="TextBox 20">
          <a:extLst>
            <a:ext uri="{FF2B5EF4-FFF2-40B4-BE49-F238E27FC236}">
              <a16:creationId xmlns:a16="http://schemas.microsoft.com/office/drawing/2014/main" id="{C321B4E1-CB3A-5590-C0A3-B5A2F51B5D6D}"/>
            </a:ext>
          </a:extLst>
        </xdr:cNvPr>
        <xdr:cNvSpPr txBox="1"/>
      </xdr:nvSpPr>
      <xdr:spPr>
        <a:xfrm>
          <a:off x="2441282" y="769203"/>
          <a:ext cx="1399934" cy="268942"/>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a:t>
          </a:r>
          <a:r>
            <a:rPr lang="en-US" sz="1800" b="1" baseline="0">
              <a:solidFill>
                <a:schemeClr val="bg1"/>
              </a:solidFill>
            </a:rPr>
            <a:t> Sales</a:t>
          </a:r>
          <a:endParaRPr lang="en-US" sz="1800" b="1">
            <a:solidFill>
              <a:schemeClr val="bg1"/>
            </a:solidFill>
          </a:endParaRPr>
        </a:p>
      </xdr:txBody>
    </xdr:sp>
    <xdr:clientData/>
  </xdr:twoCellAnchor>
  <xdr:twoCellAnchor>
    <xdr:from>
      <xdr:col>5</xdr:col>
      <xdr:colOff>291353</xdr:colOff>
      <xdr:row>7</xdr:row>
      <xdr:rowOff>44824</xdr:rowOff>
    </xdr:from>
    <xdr:to>
      <xdr:col>8</xdr:col>
      <xdr:colOff>403411</xdr:colOff>
      <xdr:row>10</xdr:row>
      <xdr:rowOff>0</xdr:rowOff>
    </xdr:to>
    <xdr:sp macro="" textlink="'pivot table'!C7">
      <xdr:nvSpPr>
        <xdr:cNvPr id="23" name="TextBox 22">
          <a:extLst>
            <a:ext uri="{FF2B5EF4-FFF2-40B4-BE49-F238E27FC236}">
              <a16:creationId xmlns:a16="http://schemas.microsoft.com/office/drawing/2014/main" id="{83296B78-3434-DBD1-9792-E3C37881008A}"/>
            </a:ext>
          </a:extLst>
        </xdr:cNvPr>
        <xdr:cNvSpPr txBox="1"/>
      </xdr:nvSpPr>
      <xdr:spPr>
        <a:xfrm>
          <a:off x="2106706" y="997324"/>
          <a:ext cx="1927411" cy="526676"/>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70F1F5-DEC7-49B7-9D8A-443D3FC9C19C}" type="TxLink">
            <a:rPr lang="en-US" sz="2400" b="1" i="0" u="none" strike="noStrike">
              <a:solidFill>
                <a:schemeClr val="bg1"/>
              </a:solidFill>
              <a:latin typeface="Calibri"/>
              <a:cs typeface="Calibri"/>
            </a:rPr>
            <a:pPr algn="ctr"/>
            <a:t> 1,292,186 </a:t>
          </a:fld>
          <a:endParaRPr lang="en-US" sz="1800" b="1">
            <a:solidFill>
              <a:schemeClr val="bg1"/>
            </a:solidFill>
          </a:endParaRPr>
        </a:p>
      </xdr:txBody>
    </xdr:sp>
    <xdr:clientData/>
  </xdr:twoCellAnchor>
  <xdr:twoCellAnchor>
    <xdr:from>
      <xdr:col>9</xdr:col>
      <xdr:colOff>14568</xdr:colOff>
      <xdr:row>5</xdr:row>
      <xdr:rowOff>67235</xdr:rowOff>
    </xdr:from>
    <xdr:to>
      <xdr:col>12</xdr:col>
      <xdr:colOff>316016</xdr:colOff>
      <xdr:row>10</xdr:row>
      <xdr:rowOff>78441</xdr:rowOff>
    </xdr:to>
    <xdr:sp macro="" textlink="">
      <xdr:nvSpPr>
        <xdr:cNvPr id="24" name="Rectangle: Rounded Corners 23">
          <a:extLst>
            <a:ext uri="{FF2B5EF4-FFF2-40B4-BE49-F238E27FC236}">
              <a16:creationId xmlns:a16="http://schemas.microsoft.com/office/drawing/2014/main" id="{1055BECA-31AF-4320-9EF0-CF0A62C4B079}"/>
            </a:ext>
          </a:extLst>
        </xdr:cNvPr>
        <xdr:cNvSpPr/>
      </xdr:nvSpPr>
      <xdr:spPr>
        <a:xfrm>
          <a:off x="4250392" y="638735"/>
          <a:ext cx="2116800" cy="963706"/>
        </a:xfrm>
        <a:prstGeom prst="roundRect">
          <a:avLst/>
        </a:prstGeom>
        <a:solidFill>
          <a:srgbClr val="1825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410140</xdr:colOff>
      <xdr:row>5</xdr:row>
      <xdr:rowOff>67236</xdr:rowOff>
    </xdr:from>
    <xdr:to>
      <xdr:col>16</xdr:col>
      <xdr:colOff>102940</xdr:colOff>
      <xdr:row>10</xdr:row>
      <xdr:rowOff>79536</xdr:rowOff>
    </xdr:to>
    <xdr:sp macro="" textlink="">
      <xdr:nvSpPr>
        <xdr:cNvPr id="25" name="Rectangle: Rounded Corners 24">
          <a:extLst>
            <a:ext uri="{FF2B5EF4-FFF2-40B4-BE49-F238E27FC236}">
              <a16:creationId xmlns:a16="http://schemas.microsoft.com/office/drawing/2014/main" id="{4A5943E9-D3F5-41E9-965E-1319F06921CE}"/>
            </a:ext>
          </a:extLst>
        </xdr:cNvPr>
        <xdr:cNvSpPr/>
      </xdr:nvSpPr>
      <xdr:spPr>
        <a:xfrm>
          <a:off x="6506140" y="638736"/>
          <a:ext cx="2131200" cy="964800"/>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201706</xdr:colOff>
      <xdr:row>5</xdr:row>
      <xdr:rowOff>67234</xdr:rowOff>
    </xdr:from>
    <xdr:to>
      <xdr:col>19</xdr:col>
      <xdr:colOff>503153</xdr:colOff>
      <xdr:row>10</xdr:row>
      <xdr:rowOff>79534</xdr:rowOff>
    </xdr:to>
    <xdr:sp macro="" textlink="">
      <xdr:nvSpPr>
        <xdr:cNvPr id="26" name="Rectangle: Rounded Corners 25">
          <a:extLst>
            <a:ext uri="{FF2B5EF4-FFF2-40B4-BE49-F238E27FC236}">
              <a16:creationId xmlns:a16="http://schemas.microsoft.com/office/drawing/2014/main" id="{AB8C1CEE-7DE8-44BC-99AE-328BF5DF5DE8}"/>
            </a:ext>
          </a:extLst>
        </xdr:cNvPr>
        <xdr:cNvSpPr/>
      </xdr:nvSpPr>
      <xdr:spPr>
        <a:xfrm>
          <a:off x="8736106" y="638734"/>
          <a:ext cx="2130247" cy="964800"/>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212911</xdr:colOff>
      <xdr:row>5</xdr:row>
      <xdr:rowOff>176893</xdr:rowOff>
    </xdr:from>
    <xdr:to>
      <xdr:col>11</xdr:col>
      <xdr:colOff>593912</xdr:colOff>
      <xdr:row>7</xdr:row>
      <xdr:rowOff>134471</xdr:rowOff>
    </xdr:to>
    <xdr:sp macro="" textlink="">
      <xdr:nvSpPr>
        <xdr:cNvPr id="27" name="TextBox 26">
          <a:extLst>
            <a:ext uri="{FF2B5EF4-FFF2-40B4-BE49-F238E27FC236}">
              <a16:creationId xmlns:a16="http://schemas.microsoft.com/office/drawing/2014/main" id="{A27AA006-29EE-EEBA-9A4D-51BF2331B7BE}"/>
            </a:ext>
          </a:extLst>
        </xdr:cNvPr>
        <xdr:cNvSpPr txBox="1"/>
      </xdr:nvSpPr>
      <xdr:spPr>
        <a:xfrm>
          <a:off x="4499161" y="748393"/>
          <a:ext cx="1605644" cy="338578"/>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a:t>
          </a:r>
          <a:r>
            <a:rPr lang="en-US" sz="1800" b="1" baseline="0"/>
            <a:t> </a:t>
          </a:r>
          <a:r>
            <a:rPr lang="en-US" sz="1800" b="1" baseline="0">
              <a:solidFill>
                <a:schemeClr val="bg1"/>
              </a:solidFill>
            </a:rPr>
            <a:t>client</a:t>
          </a:r>
          <a:endParaRPr lang="en-US" sz="1800" b="1">
            <a:solidFill>
              <a:schemeClr val="bg1"/>
            </a:solidFill>
          </a:endParaRPr>
        </a:p>
      </xdr:txBody>
    </xdr:sp>
    <xdr:clientData/>
  </xdr:twoCellAnchor>
  <xdr:twoCellAnchor>
    <xdr:from>
      <xdr:col>9</xdr:col>
      <xdr:colOff>437030</xdr:colOff>
      <xdr:row>7</xdr:row>
      <xdr:rowOff>134471</xdr:rowOff>
    </xdr:from>
    <xdr:to>
      <xdr:col>11</xdr:col>
      <xdr:colOff>526677</xdr:colOff>
      <xdr:row>9</xdr:row>
      <xdr:rowOff>89648</xdr:rowOff>
    </xdr:to>
    <xdr:sp macro="" textlink="'pivot table'!J9">
      <xdr:nvSpPr>
        <xdr:cNvPr id="28" name="TextBox 27">
          <a:extLst>
            <a:ext uri="{FF2B5EF4-FFF2-40B4-BE49-F238E27FC236}">
              <a16:creationId xmlns:a16="http://schemas.microsoft.com/office/drawing/2014/main" id="{7C484FF2-552D-E6D8-3E87-809D1FCCB006}"/>
            </a:ext>
          </a:extLst>
        </xdr:cNvPr>
        <xdr:cNvSpPr txBox="1"/>
      </xdr:nvSpPr>
      <xdr:spPr>
        <a:xfrm>
          <a:off x="4672854" y="1086971"/>
          <a:ext cx="1299882" cy="336177"/>
        </a:xfrm>
        <a:prstGeom prst="rect">
          <a:avLst/>
        </a:prstGeom>
        <a:solidFill>
          <a:srgbClr val="1825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D1427D7-07C9-4C2D-A410-3A878195B145}" type="TxLink">
            <a:rPr lang="en-US" sz="2400" b="1">
              <a:solidFill>
                <a:schemeClr val="lt1"/>
              </a:solidFill>
              <a:latin typeface="+mn-lt"/>
              <a:ea typeface="+mn-ea"/>
              <a:cs typeface="+mn-cs"/>
            </a:rPr>
            <a:pPr marL="0" indent="0" algn="ctr"/>
            <a:t>75</a:t>
          </a:fld>
          <a:endParaRPr lang="en-US" sz="2400" b="1">
            <a:solidFill>
              <a:schemeClr val="lt1"/>
            </a:solidFill>
            <a:latin typeface="+mn-lt"/>
            <a:ea typeface="+mn-ea"/>
            <a:cs typeface="+mn-cs"/>
          </a:endParaRPr>
        </a:p>
      </xdr:txBody>
    </xdr:sp>
    <xdr:clientData/>
  </xdr:twoCellAnchor>
  <xdr:twoCellAnchor>
    <xdr:from>
      <xdr:col>12</xdr:col>
      <xdr:colOff>515471</xdr:colOff>
      <xdr:row>5</xdr:row>
      <xdr:rowOff>136071</xdr:rowOff>
    </xdr:from>
    <xdr:to>
      <xdr:col>16</xdr:col>
      <xdr:colOff>33618</xdr:colOff>
      <xdr:row>7</xdr:row>
      <xdr:rowOff>136071</xdr:rowOff>
    </xdr:to>
    <xdr:sp macro="" textlink="">
      <xdr:nvSpPr>
        <xdr:cNvPr id="29" name="TextBox 28">
          <a:extLst>
            <a:ext uri="{FF2B5EF4-FFF2-40B4-BE49-F238E27FC236}">
              <a16:creationId xmlns:a16="http://schemas.microsoft.com/office/drawing/2014/main" id="{A8953E8A-268A-C4B2-F01A-565822A7DB7F}"/>
            </a:ext>
          </a:extLst>
        </xdr:cNvPr>
        <xdr:cNvSpPr txBox="1"/>
      </xdr:nvSpPr>
      <xdr:spPr>
        <a:xfrm>
          <a:off x="6638685" y="707571"/>
          <a:ext cx="1967433" cy="381000"/>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solidFill>
                <a:schemeClr val="bg1"/>
              </a:solidFill>
              <a:latin typeface="+mn-lt"/>
              <a:ea typeface="+mn-ea"/>
              <a:cs typeface="+mn-cs"/>
            </a:rPr>
            <a:t>Avg </a:t>
          </a:r>
          <a:r>
            <a:rPr lang="en-US" sz="1100">
              <a:solidFill>
                <a:schemeClr val="bg1"/>
              </a:solidFill>
            </a:rPr>
            <a:t> </a:t>
          </a:r>
          <a:r>
            <a:rPr lang="en-US" sz="1800" b="1">
              <a:solidFill>
                <a:schemeClr val="bg1"/>
              </a:solidFill>
              <a:latin typeface="+mn-lt"/>
              <a:ea typeface="+mn-ea"/>
              <a:cs typeface="+mn-cs"/>
            </a:rPr>
            <a:t>selling</a:t>
          </a:r>
          <a:r>
            <a:rPr lang="en-US" sz="1100">
              <a:solidFill>
                <a:schemeClr val="bg1"/>
              </a:solidFill>
            </a:rPr>
            <a:t> </a:t>
          </a:r>
          <a:r>
            <a:rPr lang="en-US" sz="1800" b="1">
              <a:solidFill>
                <a:schemeClr val="bg1"/>
              </a:solidFill>
              <a:latin typeface="+mn-lt"/>
              <a:ea typeface="+mn-ea"/>
              <a:cs typeface="+mn-cs"/>
            </a:rPr>
            <a:t>price</a:t>
          </a:r>
        </a:p>
      </xdr:txBody>
    </xdr:sp>
    <xdr:clientData/>
  </xdr:twoCellAnchor>
  <xdr:twoCellAnchor>
    <xdr:from>
      <xdr:col>13</xdr:col>
      <xdr:colOff>44824</xdr:colOff>
      <xdr:row>8</xdr:row>
      <xdr:rowOff>0</xdr:rowOff>
    </xdr:from>
    <xdr:to>
      <xdr:col>16</xdr:col>
      <xdr:colOff>0</xdr:colOff>
      <xdr:row>10</xdr:row>
      <xdr:rowOff>0</xdr:rowOff>
    </xdr:to>
    <xdr:sp macro="" textlink="'pivot table'!P6">
      <xdr:nvSpPr>
        <xdr:cNvPr id="30" name="TextBox 29">
          <a:extLst>
            <a:ext uri="{FF2B5EF4-FFF2-40B4-BE49-F238E27FC236}">
              <a16:creationId xmlns:a16="http://schemas.microsoft.com/office/drawing/2014/main" id="{FFA74C72-7F05-2E0C-BB22-F4053B2BB0EF}"/>
            </a:ext>
          </a:extLst>
        </xdr:cNvPr>
        <xdr:cNvSpPr txBox="1"/>
      </xdr:nvSpPr>
      <xdr:spPr>
        <a:xfrm>
          <a:off x="6780360" y="1143000"/>
          <a:ext cx="1792140" cy="381000"/>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48CFA1-46DA-47FE-B4A4-3FDF403E89DD}" type="TxLink">
            <a:rPr lang="en-US" sz="2400" b="1" i="0" u="none" strike="noStrike">
              <a:solidFill>
                <a:schemeClr val="bg1"/>
              </a:solidFill>
              <a:latin typeface="Calibri"/>
              <a:cs typeface="Calibri"/>
            </a:rPr>
            <a:pPr algn="ctr"/>
            <a:t> 10,255 </a:t>
          </a:fld>
          <a:endParaRPr lang="en-US" sz="2400" b="1">
            <a:solidFill>
              <a:schemeClr val="bg1"/>
            </a:solidFill>
          </a:endParaRPr>
        </a:p>
      </xdr:txBody>
    </xdr:sp>
    <xdr:clientData/>
  </xdr:twoCellAnchor>
  <xdr:twoCellAnchor>
    <xdr:from>
      <xdr:col>16</xdr:col>
      <xdr:colOff>358588</xdr:colOff>
      <xdr:row>5</xdr:row>
      <xdr:rowOff>100853</xdr:rowOff>
    </xdr:from>
    <xdr:to>
      <xdr:col>19</xdr:col>
      <xdr:colOff>381000</xdr:colOff>
      <xdr:row>7</xdr:row>
      <xdr:rowOff>156882</xdr:rowOff>
    </xdr:to>
    <xdr:sp macro="" textlink="">
      <xdr:nvSpPr>
        <xdr:cNvPr id="32" name="TextBox 31">
          <a:extLst>
            <a:ext uri="{FF2B5EF4-FFF2-40B4-BE49-F238E27FC236}">
              <a16:creationId xmlns:a16="http://schemas.microsoft.com/office/drawing/2014/main" id="{199A8063-585D-59A5-479D-B48BB7E81FE3}"/>
            </a:ext>
          </a:extLst>
        </xdr:cNvPr>
        <xdr:cNvSpPr txBox="1"/>
      </xdr:nvSpPr>
      <xdr:spPr>
        <a:xfrm>
          <a:off x="8830235" y="672353"/>
          <a:ext cx="1837765" cy="437029"/>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Total order</a:t>
          </a:r>
        </a:p>
      </xdr:txBody>
    </xdr:sp>
    <xdr:clientData/>
  </xdr:twoCellAnchor>
  <xdr:twoCellAnchor>
    <xdr:from>
      <xdr:col>16</xdr:col>
      <xdr:colOff>353785</xdr:colOff>
      <xdr:row>7</xdr:row>
      <xdr:rowOff>136071</xdr:rowOff>
    </xdr:from>
    <xdr:to>
      <xdr:col>19</xdr:col>
      <xdr:colOff>380998</xdr:colOff>
      <xdr:row>9</xdr:row>
      <xdr:rowOff>149679</xdr:rowOff>
    </xdr:to>
    <xdr:sp macro="" textlink="'pivot table'!V7">
      <xdr:nvSpPr>
        <xdr:cNvPr id="33" name="TextBox 32">
          <a:extLst>
            <a:ext uri="{FF2B5EF4-FFF2-40B4-BE49-F238E27FC236}">
              <a16:creationId xmlns:a16="http://schemas.microsoft.com/office/drawing/2014/main" id="{A5C0929F-4432-08A0-E8B0-52A51FB3E7AB}"/>
            </a:ext>
          </a:extLst>
        </xdr:cNvPr>
        <xdr:cNvSpPr txBox="1"/>
      </xdr:nvSpPr>
      <xdr:spPr>
        <a:xfrm flipH="1">
          <a:off x="8926285" y="1088571"/>
          <a:ext cx="1864177" cy="394608"/>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42101E-95CA-4FCC-B24C-5C299C30554D}" type="TxLink">
            <a:rPr lang="en-US" sz="2400" b="1" i="0" u="none" strike="noStrike">
              <a:solidFill>
                <a:schemeClr val="bg1"/>
              </a:solidFill>
              <a:latin typeface="Calibri"/>
              <a:cs typeface="Calibri"/>
            </a:rPr>
            <a:pPr algn="ctr"/>
            <a:t>126</a:t>
          </a:fld>
          <a:endParaRPr lang="en-US" sz="2400" b="1">
            <a:solidFill>
              <a:schemeClr val="bg1"/>
            </a:solidFill>
          </a:endParaRPr>
        </a:p>
      </xdr:txBody>
    </xdr:sp>
    <xdr:clientData/>
  </xdr:twoCellAnchor>
  <xdr:twoCellAnchor>
    <xdr:from>
      <xdr:col>5</xdr:col>
      <xdr:colOff>261258</xdr:colOff>
      <xdr:row>10</xdr:row>
      <xdr:rowOff>133350</xdr:rowOff>
    </xdr:from>
    <xdr:to>
      <xdr:col>12</xdr:col>
      <xdr:colOff>329294</xdr:colOff>
      <xdr:row>19</xdr:row>
      <xdr:rowOff>123825</xdr:rowOff>
    </xdr:to>
    <xdr:sp macro="" textlink="">
      <xdr:nvSpPr>
        <xdr:cNvPr id="34" name="Rectangle: Rounded Corners 33">
          <a:extLst>
            <a:ext uri="{FF2B5EF4-FFF2-40B4-BE49-F238E27FC236}">
              <a16:creationId xmlns:a16="http://schemas.microsoft.com/office/drawing/2014/main" id="{A11BB26B-3EFA-5D67-9B3E-B5D0F270A4B9}"/>
            </a:ext>
          </a:extLst>
        </xdr:cNvPr>
        <xdr:cNvSpPr/>
      </xdr:nvSpPr>
      <xdr:spPr>
        <a:xfrm>
          <a:off x="2098222" y="1657350"/>
          <a:ext cx="4354286" cy="1704975"/>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261258</xdr:colOff>
      <xdr:row>19</xdr:row>
      <xdr:rowOff>176893</xdr:rowOff>
    </xdr:from>
    <xdr:to>
      <xdr:col>12</xdr:col>
      <xdr:colOff>299357</xdr:colOff>
      <xdr:row>29</xdr:row>
      <xdr:rowOff>136071</xdr:rowOff>
    </xdr:to>
    <xdr:sp macro="" textlink="">
      <xdr:nvSpPr>
        <xdr:cNvPr id="35" name="Rectangle: Rounded Corners 34">
          <a:extLst>
            <a:ext uri="{FF2B5EF4-FFF2-40B4-BE49-F238E27FC236}">
              <a16:creationId xmlns:a16="http://schemas.microsoft.com/office/drawing/2014/main" id="{41EC0CCB-1788-4CDE-99D2-2DA6495D0006}"/>
            </a:ext>
          </a:extLst>
        </xdr:cNvPr>
        <xdr:cNvSpPr/>
      </xdr:nvSpPr>
      <xdr:spPr>
        <a:xfrm>
          <a:off x="2098222" y="3415393"/>
          <a:ext cx="4324349" cy="1864178"/>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478973</xdr:colOff>
      <xdr:row>10</xdr:row>
      <xdr:rowOff>136072</xdr:rowOff>
    </xdr:from>
    <xdr:to>
      <xdr:col>12</xdr:col>
      <xdr:colOff>108858</xdr:colOff>
      <xdr:row>18</xdr:row>
      <xdr:rowOff>136072</xdr:rowOff>
    </xdr:to>
    <xdr:graphicFrame macro="">
      <xdr:nvGraphicFramePr>
        <xdr:cNvPr id="36" name="Chart 35">
          <a:extLst>
            <a:ext uri="{FF2B5EF4-FFF2-40B4-BE49-F238E27FC236}">
              <a16:creationId xmlns:a16="http://schemas.microsoft.com/office/drawing/2014/main" id="{B3344FE6-38C8-4DA2-B7F8-0651197C8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476249</xdr:colOff>
      <xdr:row>20</xdr:row>
      <xdr:rowOff>40820</xdr:rowOff>
    </xdr:from>
    <xdr:to>
      <xdr:col>12</xdr:col>
      <xdr:colOff>149678</xdr:colOff>
      <xdr:row>29</xdr:row>
      <xdr:rowOff>190499</xdr:rowOff>
    </xdr:to>
    <xdr:graphicFrame macro="">
      <xdr:nvGraphicFramePr>
        <xdr:cNvPr id="38" name="Chart 37">
          <a:extLst>
            <a:ext uri="{FF2B5EF4-FFF2-40B4-BE49-F238E27FC236}">
              <a16:creationId xmlns:a16="http://schemas.microsoft.com/office/drawing/2014/main" id="{2F75BB6C-6C26-4D75-AF37-6D509E34E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381000</xdr:colOff>
      <xdr:row>10</xdr:row>
      <xdr:rowOff>133350</xdr:rowOff>
    </xdr:from>
    <xdr:to>
      <xdr:col>16</xdr:col>
      <xdr:colOff>93519</xdr:colOff>
      <xdr:row>29</xdr:row>
      <xdr:rowOff>176893</xdr:rowOff>
    </xdr:to>
    <xdr:sp macro="" textlink="">
      <xdr:nvSpPr>
        <xdr:cNvPr id="39" name="Rectangle: Rounded Corners 38">
          <a:extLst>
            <a:ext uri="{FF2B5EF4-FFF2-40B4-BE49-F238E27FC236}">
              <a16:creationId xmlns:a16="http://schemas.microsoft.com/office/drawing/2014/main" id="{2097243B-659A-2A94-210F-956C4DDF24EC}"/>
            </a:ext>
          </a:extLst>
        </xdr:cNvPr>
        <xdr:cNvSpPr/>
      </xdr:nvSpPr>
      <xdr:spPr>
        <a:xfrm>
          <a:off x="6504214" y="1657350"/>
          <a:ext cx="2161805" cy="3663043"/>
        </a:xfrm>
        <a:prstGeom prst="roundRect">
          <a:avLst/>
        </a:prstGeom>
        <a:solidFill>
          <a:srgbClr val="1825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190501</xdr:colOff>
      <xdr:row>10</xdr:row>
      <xdr:rowOff>133350</xdr:rowOff>
    </xdr:from>
    <xdr:to>
      <xdr:col>19</xdr:col>
      <xdr:colOff>544286</xdr:colOff>
      <xdr:row>29</xdr:row>
      <xdr:rowOff>176893</xdr:rowOff>
    </xdr:to>
    <xdr:sp macro="" textlink="">
      <xdr:nvSpPr>
        <xdr:cNvPr id="41" name="Rectangle: Rounded Corners 40">
          <a:extLst>
            <a:ext uri="{FF2B5EF4-FFF2-40B4-BE49-F238E27FC236}">
              <a16:creationId xmlns:a16="http://schemas.microsoft.com/office/drawing/2014/main" id="{05BB8379-64E9-F4B6-BAA0-2E3DBF9B632A}"/>
            </a:ext>
          </a:extLst>
        </xdr:cNvPr>
        <xdr:cNvSpPr/>
      </xdr:nvSpPr>
      <xdr:spPr>
        <a:xfrm>
          <a:off x="8763001" y="1657350"/>
          <a:ext cx="2190749" cy="3663043"/>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291194</xdr:colOff>
      <xdr:row>11</xdr:row>
      <xdr:rowOff>9525</xdr:rowOff>
    </xdr:from>
    <xdr:to>
      <xdr:col>19</xdr:col>
      <xdr:colOff>533400</xdr:colOff>
      <xdr:row>29</xdr:row>
      <xdr:rowOff>66674</xdr:rowOff>
    </xdr:to>
    <xdr:graphicFrame macro="">
      <xdr:nvGraphicFramePr>
        <xdr:cNvPr id="43" name="Chart 42">
          <a:extLst>
            <a:ext uri="{FF2B5EF4-FFF2-40B4-BE49-F238E27FC236}">
              <a16:creationId xmlns:a16="http://schemas.microsoft.com/office/drawing/2014/main" id="{EE03918B-95E7-4EC7-874B-D33C3610C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449037</xdr:colOff>
      <xdr:row>11</xdr:row>
      <xdr:rowOff>69271</xdr:rowOff>
    </xdr:from>
    <xdr:to>
      <xdr:col>16</xdr:col>
      <xdr:colOff>1</xdr:colOff>
      <xdr:row>28</xdr:row>
      <xdr:rowOff>69272</xdr:rowOff>
    </xdr:to>
    <xdr:graphicFrame macro="">
      <xdr:nvGraphicFramePr>
        <xdr:cNvPr id="44" name="Chart 43">
          <a:extLst>
            <a:ext uri="{FF2B5EF4-FFF2-40B4-BE49-F238E27FC236}">
              <a16:creationId xmlns:a16="http://schemas.microsoft.com/office/drawing/2014/main" id="{AF8473BB-5BF2-4EC2-865A-76DD9647E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244929</xdr:colOff>
      <xdr:row>2</xdr:row>
      <xdr:rowOff>149679</xdr:rowOff>
    </xdr:from>
    <xdr:to>
      <xdr:col>5</xdr:col>
      <xdr:colOff>13608</xdr:colOff>
      <xdr:row>11</xdr:row>
      <xdr:rowOff>44824</xdr:rowOff>
    </xdr:to>
    <xdr:sp macro="" textlink="">
      <xdr:nvSpPr>
        <xdr:cNvPr id="45" name="Oval 44">
          <a:extLst>
            <a:ext uri="{FF2B5EF4-FFF2-40B4-BE49-F238E27FC236}">
              <a16:creationId xmlns:a16="http://schemas.microsoft.com/office/drawing/2014/main" id="{774877A7-3C66-2B68-4D1B-4DDE4BC177C0}"/>
            </a:ext>
          </a:extLst>
        </xdr:cNvPr>
        <xdr:cNvSpPr/>
      </xdr:nvSpPr>
      <xdr:spPr>
        <a:xfrm>
          <a:off x="1455164" y="530679"/>
          <a:ext cx="1584032" cy="1609645"/>
        </a:xfrm>
        <a:prstGeom prst="ellipse">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280147</xdr:colOff>
      <xdr:row>2</xdr:row>
      <xdr:rowOff>179294</xdr:rowOff>
    </xdr:from>
    <xdr:to>
      <xdr:col>5</xdr:col>
      <xdr:colOff>11206</xdr:colOff>
      <xdr:row>11</xdr:row>
      <xdr:rowOff>33617</xdr:rowOff>
    </xdr:to>
    <xdr:pic>
      <xdr:nvPicPr>
        <xdr:cNvPr id="47" name="Picture 46">
          <a:hlinkClick xmlns:r="http://schemas.openxmlformats.org/officeDocument/2006/relationships" r:id="rId5"/>
          <a:extLst>
            <a:ext uri="{FF2B5EF4-FFF2-40B4-BE49-F238E27FC236}">
              <a16:creationId xmlns:a16="http://schemas.microsoft.com/office/drawing/2014/main" id="{35044F82-8B19-F1DF-8AA7-4B7056D45B5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90382" y="560294"/>
          <a:ext cx="1546412" cy="1568823"/>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2</xdr:col>
      <xdr:colOff>231323</xdr:colOff>
      <xdr:row>13</xdr:row>
      <xdr:rowOff>9522</xdr:rowOff>
    </xdr:from>
    <xdr:to>
      <xdr:col>5</xdr:col>
      <xdr:colOff>108859</xdr:colOff>
      <xdr:row>27</xdr:row>
      <xdr:rowOff>81643</xdr:rowOff>
    </xdr:to>
    <mc:AlternateContent xmlns:mc="http://schemas.openxmlformats.org/markup-compatibility/2006" xmlns:a14="http://schemas.microsoft.com/office/drawing/2010/main">
      <mc:Choice Requires="a14">
        <xdr:graphicFrame macro="">
          <xdr:nvGraphicFramePr>
            <xdr:cNvPr id="48" name="المحافظه">
              <a:extLst>
                <a:ext uri="{FF2B5EF4-FFF2-40B4-BE49-F238E27FC236}">
                  <a16:creationId xmlns:a16="http://schemas.microsoft.com/office/drawing/2014/main" id="{7C110D8E-CE37-42CF-B073-0B5DB9FF4B31}"/>
                </a:ext>
              </a:extLst>
            </xdr:cNvPr>
            <xdr:cNvGraphicFramePr/>
          </xdr:nvGraphicFramePr>
          <xdr:xfrm>
            <a:off x="0" y="0"/>
            <a:ext cx="0" cy="0"/>
          </xdr:xfrm>
          <a:graphic>
            <a:graphicData uri="http://schemas.microsoft.com/office/drawing/2010/slicer">
              <sle:slicer xmlns:sle="http://schemas.microsoft.com/office/drawing/2010/slicer" name="المحافظه"/>
            </a:graphicData>
          </a:graphic>
        </xdr:graphicFrame>
      </mc:Choice>
      <mc:Fallback xmlns="">
        <xdr:sp macro="" textlink="">
          <xdr:nvSpPr>
            <xdr:cNvPr id="0" name=""/>
            <xdr:cNvSpPr>
              <a:spLocks noTextEdit="1"/>
            </xdr:cNvSpPr>
          </xdr:nvSpPr>
          <xdr:spPr>
            <a:xfrm>
              <a:off x="231323" y="2105022"/>
              <a:ext cx="1714500" cy="2739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xdr:from>
          <xdr:col>2</xdr:col>
          <xdr:colOff>533400</xdr:colOff>
          <xdr:row>26</xdr:row>
          <xdr:rowOff>142875</xdr:rowOff>
        </xdr:from>
        <xdr:to>
          <xdr:col>4</xdr:col>
          <xdr:colOff>333375</xdr:colOff>
          <xdr:row>29</xdr:row>
          <xdr:rowOff>19050</xdr:rowOff>
        </xdr:to>
        <xdr:sp macro="" textlink="">
          <xdr:nvSpPr>
            <xdr:cNvPr id="1027" name="Button 3" hidden="1">
              <a:extLst>
                <a:ext uri="{63B3BB69-23CF-44E3-9099-C40C66FF867C}">
                  <a14:compatExt spid="_x0000_s1027"/>
                </a:ext>
                <a:ext uri="{FF2B5EF4-FFF2-40B4-BE49-F238E27FC236}">
                  <a16:creationId xmlns:a16="http://schemas.microsoft.com/office/drawing/2014/main" id="{00000000-0008-0000-0400-000003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100" b="0" i="0" u="none" strike="noStrike" baseline="0">
                  <a:solidFill>
                    <a:srgbClr val="000000"/>
                  </a:solidFill>
                  <a:latin typeface="Calibri"/>
                  <a:cs typeface="Calibri"/>
                </a:rPr>
                <a:t>clear</a:t>
              </a:r>
            </a:p>
          </xdr:txBody>
        </xdr:sp>
        <xdr:clientData fPrintsWithSheet="0"/>
      </xdr:twoCellAnchor>
    </mc:Choice>
    <mc:Fallback/>
  </mc:AlternateContent>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0.493610879632" backgroundQuery="1" createdVersion="8" refreshedVersion="8" minRefreshableVersion="3" recordCount="0" supportSubquery="1" supportAdvancedDrill="1" xr:uid="{F88F575D-7E27-4686-891B-F0A0B27FA3F5}">
  <cacheSource type="external" connectionId="2"/>
  <cacheFields count="2">
    <cacheField name="[misue].[أسم العميل].[أسم العميل]" caption="أسم العميل" numFmtId="0" level="1">
      <sharedItems count="75">
        <s v="احمد"/>
        <s v="احمد ايمن"/>
        <s v="احمد خالد"/>
        <s v="احمد عبد الستار"/>
        <s v="احمد فخرى"/>
        <s v="اسامه"/>
        <s v="اسراء ابراهيم"/>
        <s v="اسراء ابو العنين"/>
        <s v="الحج محمد السويس"/>
        <s v="الله الكافي"/>
        <s v="اوسكار راتن"/>
        <s v="اياد"/>
        <s v="بافلى هانى"/>
        <s v="بسام الشربينى"/>
        <s v="تاكي"/>
        <s v="تامر"/>
        <s v="حاتم العيسوي"/>
        <s v="حسام عبدون"/>
        <s v="حسن حازم"/>
        <s v="حسن مغرب"/>
        <s v="حماده"/>
        <s v="حمدى ذكرى"/>
        <s v="خالد عبد القوى"/>
        <s v="ديفد بهجت"/>
        <s v="رامى"/>
        <s v="رحاب"/>
        <s v="رنا"/>
        <s v="رنا ميلاد"/>
        <s v="رندا العامرى"/>
        <s v="ريم"/>
        <s v="زينا"/>
        <s v="ساره"/>
        <s v="ساره وجيه"/>
        <s v="ساندرا"/>
        <s v="سعيد"/>
        <s v="شيك هومز مارت"/>
        <s v="صفاء"/>
        <s v="صفاء الحكيم"/>
        <s v="صفاء عبد الباقي"/>
        <s v="طارق"/>
        <s v="طارق كمال"/>
        <s v="عبد الرحمن يسري"/>
        <s v="عبد الله سيد"/>
        <s v="عبير نور الدين"/>
        <s v="على السيد"/>
        <s v="على رشوان"/>
        <s v="عمرو الأسود"/>
        <s v="فاطمه محمد"/>
        <s v="فؤاد المنسي"/>
        <s v="فيصل نعيم"/>
        <s v="كيرا"/>
        <s v="كينج سونا"/>
        <s v="لينا"/>
        <s v="محمد ايمن"/>
        <s v="محمد حمدى"/>
        <s v="محمد شكرى"/>
        <s v="محمد عادل"/>
        <s v="محمد ناجى"/>
        <s v="محمود"/>
        <s v="مريم عنان"/>
        <s v="مصطفي غنيم"/>
        <s v="منزلى"/>
        <s v="مها"/>
        <s v="مهند"/>
        <s v="ميار خورشد"/>
        <s v="نور"/>
        <s v="هبه عبد الفتاح"/>
        <s v="هبه عطيه"/>
        <s v="هشام بسيونى"/>
        <s v="هشام سامى"/>
        <s v="هناء اسامه"/>
        <s v="وائل صادق"/>
        <s v="ولاء بدوى"/>
        <s v="يلماز"/>
        <s v="يوسف شناوى"/>
      </sharedItems>
    </cacheField>
    <cacheField name="[misue].[المحافظه].[المحافظه]" caption="المحافظه" numFmtId="0" hierarchy="1" level="1">
      <sharedItems containsSemiMixedTypes="0" containsNonDate="0" containsString="0"/>
    </cacheField>
  </cacheFields>
  <cacheHierarchies count="28">
    <cacheHierarchy uniqueName="[misue].[أسم العميل]" caption="أسم العميل" attribute="1" defaultMemberUniqueName="[misue].[أسم العميل].[All]" allUniqueName="[misue].[أسم العميل].[All]" dimensionUniqueName="[misue]" displayFolder="" count="2" memberValueDatatype="130" unbalanced="0">
      <fieldsUsage count="2">
        <fieldUsage x="-1"/>
        <fieldUsage x="0"/>
      </fieldsUsage>
    </cacheHierarchy>
    <cacheHierarchy uniqueName="[misue].[المحافظه]" caption="المحافظه" attribute="1" defaultMemberUniqueName="[misue].[المحافظه].[All]" allUniqueName="[misue].[المحافظه].[All]" dimensionUniqueName="[misue]" displayFolder="" count="2" memberValueDatatype="130" unbalanced="0">
      <fieldsUsage count="2">
        <fieldUsage x="-1"/>
        <fieldUsage x="1"/>
      </fieldsUsage>
    </cacheHierarchy>
    <cacheHierarchy uniqueName="[misue].[المدينه]" caption="المدينه" attribute="1" defaultMemberUniqueName="[misue].[المدينه].[All]" allUniqueName="[misue].[المدينه].[All]" dimensionUniqueName="[misue]" displayFolder="" count="2" memberValueDatatype="130" unbalanced="0"/>
    <cacheHierarchy uniqueName="[misue].[منصة البيع]" caption="منصة البيع" attribute="1" defaultMemberUniqueName="[misue].[منصة البيع].[All]" allUniqueName="[misue].[منصة البيع].[All]" dimensionUniqueName="[misue]" displayFolder="" count="2" memberValueDatatype="130" unbalanced="0"/>
    <cacheHierarchy uniqueName="[misue].[النوع]" caption="النوع" attribute="1" defaultMemberUniqueName="[misue].[النوع].[All]" allUniqueName="[misue].[النوع].[All]" dimensionUniqueName="[misue]" displayFolder="" count="2" memberValueDatatype="130" unbalanced="0"/>
    <cacheHierarchy uniqueName="[misue].[اللون المعدن]" caption="اللون المعدن" attribute="1" defaultMemberUniqueName="[misue].[اللون المعدن].[All]" allUniqueName="[misue].[اللون المعدن].[All]" dimensionUniqueName="[misue]" displayFolder="" count="2" memberValueDatatype="130" unbalanced="0"/>
    <cacheHierarchy uniqueName="[misue].[لون القماش]" caption="لون القماش" attribute="1" defaultMemberUniqueName="[misue].[لون القماش].[All]" allUniqueName="[misue].[لون القماش].[All]" dimensionUniqueName="[misue]" displayFolder="" count="2" memberValueDatatype="130" unbalanced="0"/>
    <cacheHierarchy uniqueName="[misue].[المبيعات]" caption="المبيعات" attribute="1" defaultMemberUniqueName="[misue].[المبيعات].[All]" allUniqueName="[misue].[المبيعات].[All]" dimensionUniqueName="[misue]" displayFolder="" count="2" memberValueDatatype="5" unbalanced="0"/>
    <cacheHierarchy uniqueName="[misue].[طريقه الدفع]" caption="طريقه الدفع" attribute="1" defaultMemberUniqueName="[misue].[طريقه الدفع].[All]" allUniqueName="[misue].[طريقه الدفع].[All]" dimensionUniqueName="[misue]" displayFolder="" count="2" memberValueDatatype="130" unbalanced="0"/>
    <cacheHierarchy uniqueName="[misue].[ميعاد الطلب]" caption="ميعاد الطلب" attribute="1" time="1" defaultMemberUniqueName="[misue].[ميعاد الطلب].[All]" allUniqueName="[misue].[ميعاد الطلب].[All]" dimensionUniqueName="[misue]" displayFolder="" count="2" memberValueDatatype="7" unbalanced="0"/>
    <cacheHierarchy uniqueName="[misue].[ميعاد التسليم]" caption="ميعاد التسليم" attribute="1" defaultMemberUniqueName="[misue].[ميعاد التسليم].[All]" allUniqueName="[misue].[ميعاد التسليم].[All]" dimensionUniqueName="[misue]" displayFolder="" count="2" memberValueDatatype="130" unbalanced="0"/>
    <cacheHierarchy uniqueName="[misue].[تاريخ التسليم]" caption="تاريخ التسليم" attribute="1" time="1" defaultMemberUniqueName="[misue].[تاريخ التسليم].[All]" allUniqueName="[misue].[تاريخ التسليم].[All]" dimensionUniqueName="[misue]" displayFolder="" count="2" memberValueDatatype="7" unbalanced="0"/>
    <cacheHierarchy uniqueName="[misue].[المسئول عن التسليم]" caption="المسئول عن التسليم" attribute="1" defaultMemberUniqueName="[misue].[المسئول عن التسليم].[All]" allUniqueName="[misue].[المسئول عن التسليم].[All]" dimensionUniqueName="[misue]" displayFolder="" count="2" memberValueDatatype="130" unbalanced="0"/>
    <cacheHierarchy uniqueName="[misue].[الحالة]" caption="الحالة" attribute="1" defaultMemberUniqueName="[misue].[الحالة].[All]" allUniqueName="[misue].[الحالة].[All]" dimensionUniqueName="[misue]" displayFolder="" count="2" memberValueDatatype="130" unbalanced="0"/>
    <cacheHierarchy uniqueName="[misue].[في الموعد]" caption="في الموعد" attribute="1" defaultMemberUniqueName="[misue].[في الموعد].[All]" allUniqueName="[misue].[في الموعد].[All]" dimensionUniqueName="[misue]" displayFolder="" count="2" memberValueDatatype="130" unbalanced="0"/>
    <cacheHierarchy uniqueName="[misue].[تاريخ التسليم (Month)]" caption="تاريخ التسليم (Month)" attribute="1" defaultMemberUniqueName="[misue].[تاريخ التسليم (Month)].[All]" allUniqueName="[misue].[تاريخ التسليم (Month)].[All]" dimensionUniqueName="[misue]" displayFolder="" count="2" memberValueDatatype="130" unbalanced="0"/>
    <cacheHierarchy uniqueName="[misue].[ميعاد الطلب (Year)]" caption="ميعاد الطلب (Year)" attribute="1" defaultMemberUniqueName="[misue].[ميعاد الطلب (Year)].[All]" allUniqueName="[misue].[ميعاد الطلب (Year)].[All]" dimensionUniqueName="[misue]" displayFolder="" count="2" memberValueDatatype="130" unbalanced="0"/>
    <cacheHierarchy uniqueName="[misue].[ميعاد الطلب (Quarter)]" caption="ميعاد الطلب (Quarter)" attribute="1" defaultMemberUniqueName="[misue].[ميعاد الطلب (Quarter)].[All]" allUniqueName="[misue].[ميعاد الطلب (Quarter)].[All]" dimensionUniqueName="[misue]" displayFolder="" count="2" memberValueDatatype="130" unbalanced="0"/>
    <cacheHierarchy uniqueName="[misue].[ميعاد الطلب (Month)]" caption="ميعاد الطلب (Month)" attribute="1" defaultMemberUniqueName="[misue].[ميعاد الطلب (Month)].[All]" allUniqueName="[misue].[ميعاد الطلب (Month)].[All]" dimensionUniqueName="[misue]" displayFolder="" count="2" memberValueDatatype="130" unbalanced="0"/>
    <cacheHierarchy uniqueName="[misue].[تاريخ التسليم (Month Index)]" caption="تاريخ التسليم (Month Index)" attribute="1" defaultMemberUniqueName="[misue].[تاريخ التسليم (Month Index)].[All]" allUniqueName="[misue].[تاريخ التسليم (Month Index)].[All]" dimensionUniqueName="[misue]" displayFolder="" count="2" memberValueDatatype="20" unbalanced="0" hidden="1"/>
    <cacheHierarchy uniqueName="[misue].[ميعاد الطلب (Month Index)]" caption="ميعاد الطلب (Month Index)" attribute="1" defaultMemberUniqueName="[misue].[ميعاد الطلب (Month Index)].[All]" allUniqueName="[misue].[ميعاد الطلب (Month Index)].[All]" dimensionUniqueName="[misue]" displayFolder="" count="2" memberValueDatatype="20" unbalanced="0" hidden="1"/>
    <cacheHierarchy uniqueName="[Measures].[__XL_Count misue]" caption="__XL_Count misue" measure="1" displayFolder="" measureGroup="misue" count="0" hidden="1"/>
    <cacheHierarchy uniqueName="[Measures].[__No measures defined]" caption="__No measures defined" measure="1" displayFolder="" count="0" hidden="1"/>
    <cacheHierarchy uniqueName="[Measures].[Sum of المبيعات]" caption="Sum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Count of المبيعات]" caption="Count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Average of المبيعات]" caption="Average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Count of أسم العميل]" caption="Count of أسم العميل" measure="1" displayFolder="" measureGroup="misue" count="0" hidden="1">
      <extLst>
        <ext xmlns:x15="http://schemas.microsoft.com/office/spreadsheetml/2010/11/main" uri="{B97F6D7D-B522-45F9-BDA1-12C45D357490}">
          <x15:cacheHierarchy aggregatedColumn="0"/>
        </ext>
      </extLst>
    </cacheHierarchy>
    <cacheHierarchy uniqueName="[Measures].[Count of في الموعد]" caption="Count of في الموعد" measure="1" displayFolder="" measureGroup="misu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misue" uniqueName="[misue]" caption="misue"/>
  </dimensions>
  <measureGroups count="1">
    <measureGroup name="misue" caption="misu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0.493610995371" backgroundQuery="1" createdVersion="8" refreshedVersion="8" minRefreshableVersion="3" recordCount="0" supportSubquery="1" supportAdvancedDrill="1" xr:uid="{67CE0BD6-580A-4CC3-811B-C7A5BDA7BA35}">
  <cacheSource type="external" connectionId="2"/>
  <cacheFields count="2">
    <cacheField name="[Measures].[Sum of المبيعات]" caption="Sum of المبيعات" numFmtId="0" hierarchy="23" level="32767"/>
    <cacheField name="[misue].[المحافظه].[المحافظه]" caption="المحافظه" numFmtId="0" hierarchy="1" level="1">
      <sharedItems containsSemiMixedTypes="0" containsNonDate="0" containsString="0"/>
    </cacheField>
  </cacheFields>
  <cacheHierarchies count="28">
    <cacheHierarchy uniqueName="[misue].[أسم العميل]" caption="أسم العميل" attribute="1" defaultMemberUniqueName="[misue].[أسم العميل].[All]" allUniqueName="[misue].[أسم العميل].[All]" dimensionUniqueName="[misue]" displayFolder="" count="0" memberValueDatatype="130" unbalanced="0"/>
    <cacheHierarchy uniqueName="[misue].[المحافظه]" caption="المحافظه" attribute="1" defaultMemberUniqueName="[misue].[المحافظه].[All]" allUniqueName="[misue].[المحافظه].[All]" dimensionUniqueName="[misue]" displayFolder="" count="2" memberValueDatatype="130" unbalanced="0">
      <fieldsUsage count="2">
        <fieldUsage x="-1"/>
        <fieldUsage x="1"/>
      </fieldsUsage>
    </cacheHierarchy>
    <cacheHierarchy uniqueName="[misue].[المدينه]" caption="المدينه" attribute="1" defaultMemberUniqueName="[misue].[المدينه].[All]" allUniqueName="[misue].[المدينه].[All]" dimensionUniqueName="[misue]" displayFolder="" count="0" memberValueDatatype="130" unbalanced="0"/>
    <cacheHierarchy uniqueName="[misue].[منصة البيع]" caption="منصة البيع" attribute="1" defaultMemberUniqueName="[misue].[منصة البيع].[All]" allUniqueName="[misue].[منصة البيع].[All]" dimensionUniqueName="[misue]" displayFolder="" count="0" memberValueDatatype="130" unbalanced="0"/>
    <cacheHierarchy uniqueName="[misue].[النوع]" caption="النوع" attribute="1" defaultMemberUniqueName="[misue].[النوع].[All]" allUniqueName="[misue].[النوع].[All]" dimensionUniqueName="[misue]" displayFolder="" count="0" memberValueDatatype="130" unbalanced="0"/>
    <cacheHierarchy uniqueName="[misue].[اللون المعدن]" caption="اللون المعدن" attribute="1" defaultMemberUniqueName="[misue].[اللون المعدن].[All]" allUniqueName="[misue].[اللون المعدن].[All]" dimensionUniqueName="[misue]" displayFolder="" count="0" memberValueDatatype="130" unbalanced="0"/>
    <cacheHierarchy uniqueName="[misue].[لون القماش]" caption="لون القماش" attribute="1" defaultMemberUniqueName="[misue].[لون القماش].[All]" allUniqueName="[misue].[لون القماش].[All]" dimensionUniqueName="[misue]" displayFolder="" count="0" memberValueDatatype="130" unbalanced="0"/>
    <cacheHierarchy uniqueName="[misue].[المبيعات]" caption="المبيعات" attribute="1" defaultMemberUniqueName="[misue].[المبيعات].[All]" allUniqueName="[misue].[المبيعات].[All]" dimensionUniqueName="[misue]" displayFolder="" count="0" memberValueDatatype="5" unbalanced="0"/>
    <cacheHierarchy uniqueName="[misue].[طريقه الدفع]" caption="طريقه الدفع" attribute="1" defaultMemberUniqueName="[misue].[طريقه الدفع].[All]" allUniqueName="[misue].[طريقه الدفع].[All]" dimensionUniqueName="[misue]" displayFolder="" count="0" memberValueDatatype="130" unbalanced="0"/>
    <cacheHierarchy uniqueName="[misue].[ميعاد الطلب]" caption="ميعاد الطلب" attribute="1" time="1" defaultMemberUniqueName="[misue].[ميعاد الطلب].[All]" allUniqueName="[misue].[ميعاد الطلب].[All]" dimensionUniqueName="[misue]" displayFolder="" count="0" memberValueDatatype="7" unbalanced="0"/>
    <cacheHierarchy uniqueName="[misue].[ميعاد التسليم]" caption="ميعاد التسليم" attribute="1" defaultMemberUniqueName="[misue].[ميعاد التسليم].[All]" allUniqueName="[misue].[ميعاد التسليم].[All]" dimensionUniqueName="[misue]" displayFolder="" count="0" memberValueDatatype="130" unbalanced="0"/>
    <cacheHierarchy uniqueName="[misue].[تاريخ التسليم]" caption="تاريخ التسليم" attribute="1" time="1" defaultMemberUniqueName="[misue].[تاريخ التسليم].[All]" allUniqueName="[misue].[تاريخ التسليم].[All]" dimensionUniqueName="[misue]" displayFolder="" count="0" memberValueDatatype="7" unbalanced="0"/>
    <cacheHierarchy uniqueName="[misue].[المسئول عن التسليم]" caption="المسئول عن التسليم" attribute="1" defaultMemberUniqueName="[misue].[المسئول عن التسليم].[All]" allUniqueName="[misue].[المسئول عن التسليم].[All]" dimensionUniqueName="[misue]" displayFolder="" count="0" memberValueDatatype="130" unbalanced="0"/>
    <cacheHierarchy uniqueName="[misue].[الحالة]" caption="الحالة" attribute="1" defaultMemberUniqueName="[misue].[الحالة].[All]" allUniqueName="[misue].[الحالة].[All]" dimensionUniqueName="[misue]" displayFolder="" count="0" memberValueDatatype="130" unbalanced="0"/>
    <cacheHierarchy uniqueName="[misue].[في الموعد]" caption="في الموعد" attribute="1" defaultMemberUniqueName="[misue].[في الموعد].[All]" allUniqueName="[misue].[في الموعد].[All]" dimensionUniqueName="[misue]" displayFolder="" count="0" memberValueDatatype="130" unbalanced="0"/>
    <cacheHierarchy uniqueName="[misue].[تاريخ التسليم (Month)]" caption="تاريخ التسليم (Month)" attribute="1" defaultMemberUniqueName="[misue].[تاريخ التسليم (Month)].[All]" allUniqueName="[misue].[تاريخ التسليم (Month)].[All]" dimensionUniqueName="[misue]" displayFolder="" count="0" memberValueDatatype="130" unbalanced="0"/>
    <cacheHierarchy uniqueName="[misue].[ميعاد الطلب (Year)]" caption="ميعاد الطلب (Year)" attribute="1" defaultMemberUniqueName="[misue].[ميعاد الطلب (Year)].[All]" allUniqueName="[misue].[ميعاد الطلب (Year)].[All]" dimensionUniqueName="[misue]" displayFolder="" count="0" memberValueDatatype="130" unbalanced="0"/>
    <cacheHierarchy uniqueName="[misue].[ميعاد الطلب (Quarter)]" caption="ميعاد الطلب (Quarter)" attribute="1" defaultMemberUniqueName="[misue].[ميعاد الطلب (Quarter)].[All]" allUniqueName="[misue].[ميعاد الطلب (Quarter)].[All]" dimensionUniqueName="[misue]" displayFolder="" count="0" memberValueDatatype="130" unbalanced="0"/>
    <cacheHierarchy uniqueName="[misue].[ميعاد الطلب (Month)]" caption="ميعاد الطلب (Month)" attribute="1" defaultMemberUniqueName="[misue].[ميعاد الطلب (Month)].[All]" allUniqueName="[misue].[ميعاد الطلب (Month)].[All]" dimensionUniqueName="[misue]" displayFolder="" count="0" memberValueDatatype="130" unbalanced="0"/>
    <cacheHierarchy uniqueName="[misue].[تاريخ التسليم (Month Index)]" caption="تاريخ التسليم (Month Index)" attribute="1" defaultMemberUniqueName="[misue].[تاريخ التسليم (Month Index)].[All]" allUniqueName="[misue].[تاريخ التسليم (Month Index)].[All]" dimensionUniqueName="[misue]" displayFolder="" count="0" memberValueDatatype="20" unbalanced="0" hidden="1"/>
    <cacheHierarchy uniqueName="[misue].[ميعاد الطلب (Month Index)]" caption="ميعاد الطلب (Month Index)" attribute="1" defaultMemberUniqueName="[misue].[ميعاد الطلب (Month Index)].[All]" allUniqueName="[misue].[ميعاد الطلب (Month Index)].[All]" dimensionUniqueName="[misue]" displayFolder="" count="0" memberValueDatatype="20" unbalanced="0" hidden="1"/>
    <cacheHierarchy uniqueName="[Measures].[__XL_Count misue]" caption="__XL_Count misue" measure="1" displayFolder="" measureGroup="misue" count="0" hidden="1"/>
    <cacheHierarchy uniqueName="[Measures].[__No measures defined]" caption="__No measures defined" measure="1" displayFolder="" count="0" hidden="1"/>
    <cacheHierarchy uniqueName="[Measures].[Sum of المبيعات]" caption="Sum of المبيعات" measure="1" displayFolder="" measureGroup="misue"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المبيعات]" caption="Count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Average of المبيعات]" caption="Average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Count of أسم العميل]" caption="Count of أسم العميل" measure="1" displayFolder="" measureGroup="misue" count="0" hidden="1">
      <extLst>
        <ext xmlns:x15="http://schemas.microsoft.com/office/spreadsheetml/2010/11/main" uri="{B97F6D7D-B522-45F9-BDA1-12C45D357490}">
          <x15:cacheHierarchy aggregatedColumn="0"/>
        </ext>
      </extLst>
    </cacheHierarchy>
    <cacheHierarchy uniqueName="[Measures].[Count of في الموعد]" caption="Count of في الموعد" measure="1" displayFolder="" measureGroup="misu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misue" uniqueName="[misue]" caption="misue"/>
  </dimensions>
  <measureGroups count="1">
    <measureGroup name="misue" caption="misu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0.493611226855" backgroundQuery="1" createdVersion="8" refreshedVersion="8" minRefreshableVersion="3" recordCount="0" supportSubquery="1" supportAdvancedDrill="1" xr:uid="{97913A39-E4A2-499D-B5DA-154A6FCD4A8E}">
  <cacheSource type="external" connectionId="2"/>
  <cacheFields count="2">
    <cacheField name="[Measures].[Average of المبيعات]" caption="Average of المبيعات" numFmtId="0" hierarchy="25" level="32767"/>
    <cacheField name="[misue].[المحافظه].[المحافظه]" caption="المحافظه" numFmtId="0" hierarchy="1" level="1">
      <sharedItems containsSemiMixedTypes="0" containsNonDate="0" containsString="0"/>
    </cacheField>
  </cacheFields>
  <cacheHierarchies count="28">
    <cacheHierarchy uniqueName="[misue].[أسم العميل]" caption="أسم العميل" attribute="1" defaultMemberUniqueName="[misue].[أسم العميل].[All]" allUniqueName="[misue].[أسم العميل].[All]" dimensionUniqueName="[misue]" displayFolder="" count="0" memberValueDatatype="130" unbalanced="0"/>
    <cacheHierarchy uniqueName="[misue].[المحافظه]" caption="المحافظه" attribute="1" defaultMemberUniqueName="[misue].[المحافظه].[All]" allUniqueName="[misue].[المحافظه].[All]" dimensionUniqueName="[misue]" displayFolder="" count="2" memberValueDatatype="130" unbalanced="0">
      <fieldsUsage count="2">
        <fieldUsage x="-1"/>
        <fieldUsage x="1"/>
      </fieldsUsage>
    </cacheHierarchy>
    <cacheHierarchy uniqueName="[misue].[المدينه]" caption="المدينه" attribute="1" defaultMemberUniqueName="[misue].[المدينه].[All]" allUniqueName="[misue].[المدينه].[All]" dimensionUniqueName="[misue]" displayFolder="" count="0" memberValueDatatype="130" unbalanced="0"/>
    <cacheHierarchy uniqueName="[misue].[منصة البيع]" caption="منصة البيع" attribute="1" defaultMemberUniqueName="[misue].[منصة البيع].[All]" allUniqueName="[misue].[منصة البيع].[All]" dimensionUniqueName="[misue]" displayFolder="" count="0" memberValueDatatype="130" unbalanced="0"/>
    <cacheHierarchy uniqueName="[misue].[النوع]" caption="النوع" attribute="1" defaultMemberUniqueName="[misue].[النوع].[All]" allUniqueName="[misue].[النوع].[All]" dimensionUniqueName="[misue]" displayFolder="" count="0" memberValueDatatype="130" unbalanced="0"/>
    <cacheHierarchy uniqueName="[misue].[اللون المعدن]" caption="اللون المعدن" attribute="1" defaultMemberUniqueName="[misue].[اللون المعدن].[All]" allUniqueName="[misue].[اللون المعدن].[All]" dimensionUniqueName="[misue]" displayFolder="" count="0" memberValueDatatype="130" unbalanced="0"/>
    <cacheHierarchy uniqueName="[misue].[لون القماش]" caption="لون القماش" attribute="1" defaultMemberUniqueName="[misue].[لون القماش].[All]" allUniqueName="[misue].[لون القماش].[All]" dimensionUniqueName="[misue]" displayFolder="" count="0" memberValueDatatype="130" unbalanced="0"/>
    <cacheHierarchy uniqueName="[misue].[المبيعات]" caption="المبيعات" attribute="1" defaultMemberUniqueName="[misue].[المبيعات].[All]" allUniqueName="[misue].[المبيعات].[All]" dimensionUniqueName="[misue]" displayFolder="" count="0" memberValueDatatype="5" unbalanced="0"/>
    <cacheHierarchy uniqueName="[misue].[طريقه الدفع]" caption="طريقه الدفع" attribute="1" defaultMemberUniqueName="[misue].[طريقه الدفع].[All]" allUniqueName="[misue].[طريقه الدفع].[All]" dimensionUniqueName="[misue]" displayFolder="" count="0" memberValueDatatype="130" unbalanced="0"/>
    <cacheHierarchy uniqueName="[misue].[ميعاد الطلب]" caption="ميعاد الطلب" attribute="1" time="1" defaultMemberUniqueName="[misue].[ميعاد الطلب].[All]" allUniqueName="[misue].[ميعاد الطلب].[All]" dimensionUniqueName="[misue]" displayFolder="" count="0" memberValueDatatype="7" unbalanced="0"/>
    <cacheHierarchy uniqueName="[misue].[ميعاد التسليم]" caption="ميعاد التسليم" attribute="1" defaultMemberUniqueName="[misue].[ميعاد التسليم].[All]" allUniqueName="[misue].[ميعاد التسليم].[All]" dimensionUniqueName="[misue]" displayFolder="" count="0" memberValueDatatype="130" unbalanced="0"/>
    <cacheHierarchy uniqueName="[misue].[تاريخ التسليم]" caption="تاريخ التسليم" attribute="1" time="1" defaultMemberUniqueName="[misue].[تاريخ التسليم].[All]" allUniqueName="[misue].[تاريخ التسليم].[All]" dimensionUniqueName="[misue]" displayFolder="" count="0" memberValueDatatype="7" unbalanced="0"/>
    <cacheHierarchy uniqueName="[misue].[المسئول عن التسليم]" caption="المسئول عن التسليم" attribute="1" defaultMemberUniqueName="[misue].[المسئول عن التسليم].[All]" allUniqueName="[misue].[المسئول عن التسليم].[All]" dimensionUniqueName="[misue]" displayFolder="" count="0" memberValueDatatype="130" unbalanced="0"/>
    <cacheHierarchy uniqueName="[misue].[الحالة]" caption="الحالة" attribute="1" defaultMemberUniqueName="[misue].[الحالة].[All]" allUniqueName="[misue].[الحالة].[All]" dimensionUniqueName="[misue]" displayFolder="" count="0" memberValueDatatype="130" unbalanced="0"/>
    <cacheHierarchy uniqueName="[misue].[في الموعد]" caption="في الموعد" attribute="1" defaultMemberUniqueName="[misue].[في الموعد].[All]" allUniqueName="[misue].[في الموعد].[All]" dimensionUniqueName="[misue]" displayFolder="" count="0" memberValueDatatype="130" unbalanced="0"/>
    <cacheHierarchy uniqueName="[misue].[تاريخ التسليم (Month)]" caption="تاريخ التسليم (Month)" attribute="1" defaultMemberUniqueName="[misue].[تاريخ التسليم (Month)].[All]" allUniqueName="[misue].[تاريخ التسليم (Month)].[All]" dimensionUniqueName="[misue]" displayFolder="" count="0" memberValueDatatype="130" unbalanced="0"/>
    <cacheHierarchy uniqueName="[misue].[ميعاد الطلب (Year)]" caption="ميعاد الطلب (Year)" attribute="1" defaultMemberUniqueName="[misue].[ميعاد الطلب (Year)].[All]" allUniqueName="[misue].[ميعاد الطلب (Year)].[All]" dimensionUniqueName="[misue]" displayFolder="" count="0" memberValueDatatype="130" unbalanced="0"/>
    <cacheHierarchy uniqueName="[misue].[ميعاد الطلب (Quarter)]" caption="ميعاد الطلب (Quarter)" attribute="1" defaultMemberUniqueName="[misue].[ميعاد الطلب (Quarter)].[All]" allUniqueName="[misue].[ميعاد الطلب (Quarter)].[All]" dimensionUniqueName="[misue]" displayFolder="" count="0" memberValueDatatype="130" unbalanced="0"/>
    <cacheHierarchy uniqueName="[misue].[ميعاد الطلب (Month)]" caption="ميعاد الطلب (Month)" attribute="1" defaultMemberUniqueName="[misue].[ميعاد الطلب (Month)].[All]" allUniqueName="[misue].[ميعاد الطلب (Month)].[All]" dimensionUniqueName="[misue]" displayFolder="" count="0" memberValueDatatype="130" unbalanced="0"/>
    <cacheHierarchy uniqueName="[misue].[تاريخ التسليم (Month Index)]" caption="تاريخ التسليم (Month Index)" attribute="1" defaultMemberUniqueName="[misue].[تاريخ التسليم (Month Index)].[All]" allUniqueName="[misue].[تاريخ التسليم (Month Index)].[All]" dimensionUniqueName="[misue]" displayFolder="" count="0" memberValueDatatype="20" unbalanced="0" hidden="1"/>
    <cacheHierarchy uniqueName="[misue].[ميعاد الطلب (Month Index)]" caption="ميعاد الطلب (Month Index)" attribute="1" defaultMemberUniqueName="[misue].[ميعاد الطلب (Month Index)].[All]" allUniqueName="[misue].[ميعاد الطلب (Month Index)].[All]" dimensionUniqueName="[misue]" displayFolder="" count="0" memberValueDatatype="20" unbalanced="0" hidden="1"/>
    <cacheHierarchy uniqueName="[Measures].[__XL_Count misue]" caption="__XL_Count misue" measure="1" displayFolder="" measureGroup="misue" count="0" hidden="1"/>
    <cacheHierarchy uniqueName="[Measures].[__No measures defined]" caption="__No measures defined" measure="1" displayFolder="" count="0" hidden="1"/>
    <cacheHierarchy uniqueName="[Measures].[Sum of المبيعات]" caption="Sum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Count of المبيعات]" caption="Count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Average of المبيعات]" caption="Average of المبيعات" measure="1" displayFolder="" measureGroup="misue"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أسم العميل]" caption="Count of أسم العميل" measure="1" displayFolder="" measureGroup="misue" count="0" hidden="1">
      <extLst>
        <ext xmlns:x15="http://schemas.microsoft.com/office/spreadsheetml/2010/11/main" uri="{B97F6D7D-B522-45F9-BDA1-12C45D357490}">
          <x15:cacheHierarchy aggregatedColumn="0"/>
        </ext>
      </extLst>
    </cacheHierarchy>
    <cacheHierarchy uniqueName="[Measures].[Count of في الموعد]" caption="Count of في الموعد" measure="1" displayFolder="" measureGroup="misu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misue" uniqueName="[misue]" caption="misue"/>
  </dimensions>
  <measureGroups count="1">
    <measureGroup name="misue" caption="misu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0.493611226855" backgroundQuery="1" createdVersion="8" refreshedVersion="8" minRefreshableVersion="3" recordCount="0" supportSubquery="1" supportAdvancedDrill="1" xr:uid="{3EC9AA01-5569-4626-ADFE-88A1677E19CA}">
  <cacheSource type="external" connectionId="2"/>
  <cacheFields count="2">
    <cacheField name="[Measures].[Count of أسم العميل]" caption="Count of أسم العميل" numFmtId="0" hierarchy="26" level="32767"/>
    <cacheField name="[misue].[المحافظه].[المحافظه]" caption="المحافظه" numFmtId="0" hierarchy="1" level="1">
      <sharedItems containsSemiMixedTypes="0" containsNonDate="0" containsString="0"/>
    </cacheField>
  </cacheFields>
  <cacheHierarchies count="28">
    <cacheHierarchy uniqueName="[misue].[أسم العميل]" caption="أسم العميل" attribute="1" defaultMemberUniqueName="[misue].[أسم العميل].[All]" allUniqueName="[misue].[أسم العميل].[All]" dimensionUniqueName="[misue]" displayFolder="" count="0" memberValueDatatype="130" unbalanced="0"/>
    <cacheHierarchy uniqueName="[misue].[المحافظه]" caption="المحافظه" attribute="1" defaultMemberUniqueName="[misue].[المحافظه].[All]" allUniqueName="[misue].[المحافظه].[All]" dimensionUniqueName="[misue]" displayFolder="" count="2" memberValueDatatype="130" unbalanced="0">
      <fieldsUsage count="2">
        <fieldUsage x="-1"/>
        <fieldUsage x="1"/>
      </fieldsUsage>
    </cacheHierarchy>
    <cacheHierarchy uniqueName="[misue].[المدينه]" caption="المدينه" attribute="1" defaultMemberUniqueName="[misue].[المدينه].[All]" allUniqueName="[misue].[المدينه].[All]" dimensionUniqueName="[misue]" displayFolder="" count="0" memberValueDatatype="130" unbalanced="0"/>
    <cacheHierarchy uniqueName="[misue].[منصة البيع]" caption="منصة البيع" attribute="1" defaultMemberUniqueName="[misue].[منصة البيع].[All]" allUniqueName="[misue].[منصة البيع].[All]" dimensionUniqueName="[misue]" displayFolder="" count="0" memberValueDatatype="130" unbalanced="0"/>
    <cacheHierarchy uniqueName="[misue].[النوع]" caption="النوع" attribute="1" defaultMemberUniqueName="[misue].[النوع].[All]" allUniqueName="[misue].[النوع].[All]" dimensionUniqueName="[misue]" displayFolder="" count="0" memberValueDatatype="130" unbalanced="0"/>
    <cacheHierarchy uniqueName="[misue].[اللون المعدن]" caption="اللون المعدن" attribute="1" defaultMemberUniqueName="[misue].[اللون المعدن].[All]" allUniqueName="[misue].[اللون المعدن].[All]" dimensionUniqueName="[misue]" displayFolder="" count="0" memberValueDatatype="130" unbalanced="0"/>
    <cacheHierarchy uniqueName="[misue].[لون القماش]" caption="لون القماش" attribute="1" defaultMemberUniqueName="[misue].[لون القماش].[All]" allUniqueName="[misue].[لون القماش].[All]" dimensionUniqueName="[misue]" displayFolder="" count="0" memberValueDatatype="130" unbalanced="0"/>
    <cacheHierarchy uniqueName="[misue].[المبيعات]" caption="المبيعات" attribute="1" defaultMemberUniqueName="[misue].[المبيعات].[All]" allUniqueName="[misue].[المبيعات].[All]" dimensionUniqueName="[misue]" displayFolder="" count="0" memberValueDatatype="5" unbalanced="0"/>
    <cacheHierarchy uniqueName="[misue].[طريقه الدفع]" caption="طريقه الدفع" attribute="1" defaultMemberUniqueName="[misue].[طريقه الدفع].[All]" allUniqueName="[misue].[طريقه الدفع].[All]" dimensionUniqueName="[misue]" displayFolder="" count="0" memberValueDatatype="130" unbalanced="0"/>
    <cacheHierarchy uniqueName="[misue].[ميعاد الطلب]" caption="ميعاد الطلب" attribute="1" time="1" defaultMemberUniqueName="[misue].[ميعاد الطلب].[All]" allUniqueName="[misue].[ميعاد الطلب].[All]" dimensionUniqueName="[misue]" displayFolder="" count="0" memberValueDatatype="7" unbalanced="0"/>
    <cacheHierarchy uniqueName="[misue].[ميعاد التسليم]" caption="ميعاد التسليم" attribute="1" defaultMemberUniqueName="[misue].[ميعاد التسليم].[All]" allUniqueName="[misue].[ميعاد التسليم].[All]" dimensionUniqueName="[misue]" displayFolder="" count="0" memberValueDatatype="130" unbalanced="0"/>
    <cacheHierarchy uniqueName="[misue].[تاريخ التسليم]" caption="تاريخ التسليم" attribute="1" time="1" defaultMemberUniqueName="[misue].[تاريخ التسليم].[All]" allUniqueName="[misue].[تاريخ التسليم].[All]" dimensionUniqueName="[misue]" displayFolder="" count="0" memberValueDatatype="7" unbalanced="0"/>
    <cacheHierarchy uniqueName="[misue].[المسئول عن التسليم]" caption="المسئول عن التسليم" attribute="1" defaultMemberUniqueName="[misue].[المسئول عن التسليم].[All]" allUniqueName="[misue].[المسئول عن التسليم].[All]" dimensionUniqueName="[misue]" displayFolder="" count="0" memberValueDatatype="130" unbalanced="0"/>
    <cacheHierarchy uniqueName="[misue].[الحالة]" caption="الحالة" attribute="1" defaultMemberUniqueName="[misue].[الحالة].[All]" allUniqueName="[misue].[الحالة].[All]" dimensionUniqueName="[misue]" displayFolder="" count="0" memberValueDatatype="130" unbalanced="0"/>
    <cacheHierarchy uniqueName="[misue].[في الموعد]" caption="في الموعد" attribute="1" defaultMemberUniqueName="[misue].[في الموعد].[All]" allUniqueName="[misue].[في الموعد].[All]" dimensionUniqueName="[misue]" displayFolder="" count="0" memberValueDatatype="130" unbalanced="0"/>
    <cacheHierarchy uniqueName="[misue].[تاريخ التسليم (Month)]" caption="تاريخ التسليم (Month)" attribute="1" defaultMemberUniqueName="[misue].[تاريخ التسليم (Month)].[All]" allUniqueName="[misue].[تاريخ التسليم (Month)].[All]" dimensionUniqueName="[misue]" displayFolder="" count="0" memberValueDatatype="130" unbalanced="0"/>
    <cacheHierarchy uniqueName="[misue].[ميعاد الطلب (Year)]" caption="ميعاد الطلب (Year)" attribute="1" defaultMemberUniqueName="[misue].[ميعاد الطلب (Year)].[All]" allUniqueName="[misue].[ميعاد الطلب (Year)].[All]" dimensionUniqueName="[misue]" displayFolder="" count="0" memberValueDatatype="130" unbalanced="0"/>
    <cacheHierarchy uniqueName="[misue].[ميعاد الطلب (Quarter)]" caption="ميعاد الطلب (Quarter)" attribute="1" defaultMemberUniqueName="[misue].[ميعاد الطلب (Quarter)].[All]" allUniqueName="[misue].[ميعاد الطلب (Quarter)].[All]" dimensionUniqueName="[misue]" displayFolder="" count="0" memberValueDatatype="130" unbalanced="0"/>
    <cacheHierarchy uniqueName="[misue].[ميعاد الطلب (Month)]" caption="ميعاد الطلب (Month)" attribute="1" defaultMemberUniqueName="[misue].[ميعاد الطلب (Month)].[All]" allUniqueName="[misue].[ميعاد الطلب (Month)].[All]" dimensionUniqueName="[misue]" displayFolder="" count="0" memberValueDatatype="130" unbalanced="0"/>
    <cacheHierarchy uniqueName="[misue].[تاريخ التسليم (Month Index)]" caption="تاريخ التسليم (Month Index)" attribute="1" defaultMemberUniqueName="[misue].[تاريخ التسليم (Month Index)].[All]" allUniqueName="[misue].[تاريخ التسليم (Month Index)].[All]" dimensionUniqueName="[misue]" displayFolder="" count="0" memberValueDatatype="20" unbalanced="0" hidden="1"/>
    <cacheHierarchy uniqueName="[misue].[ميعاد الطلب (Month Index)]" caption="ميعاد الطلب (Month Index)" attribute="1" defaultMemberUniqueName="[misue].[ميعاد الطلب (Month Index)].[All]" allUniqueName="[misue].[ميعاد الطلب (Month Index)].[All]" dimensionUniqueName="[misue]" displayFolder="" count="0" memberValueDatatype="20" unbalanced="0" hidden="1"/>
    <cacheHierarchy uniqueName="[Measures].[__XL_Count misue]" caption="__XL_Count misue" measure="1" displayFolder="" measureGroup="misue" count="0" hidden="1"/>
    <cacheHierarchy uniqueName="[Measures].[__No measures defined]" caption="__No measures defined" measure="1" displayFolder="" count="0" hidden="1"/>
    <cacheHierarchy uniqueName="[Measures].[Sum of المبيعات]" caption="Sum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Count of المبيعات]" caption="Count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Average of المبيعات]" caption="Average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Count of أسم العميل]" caption="Count of أسم العميل" measure="1" displayFolder="" measureGroup="misu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في الموعد]" caption="Count of في الموعد" measure="1" displayFolder="" measureGroup="misu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misue" uniqueName="[misue]" caption="misue"/>
  </dimensions>
  <measureGroups count="1">
    <measureGroup name="misue" caption="misu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0.493611805556" backgroundQuery="1" createdVersion="8" refreshedVersion="8" minRefreshableVersion="3" recordCount="0" supportSubquery="1" supportAdvancedDrill="1" xr:uid="{2E51B82B-73AD-4BC6-870D-7C989C32E50A}">
  <cacheSource type="external" connectionId="2"/>
  <cacheFields count="3">
    <cacheField name="[misue].[النوع].[النوع]" caption="النوع" numFmtId="0" hierarchy="4" level="1">
      <sharedItems count="15">
        <s v="تربيزه"/>
        <s v="تربيزه ٢ ميكانزم"/>
        <s v="تربيزه دورين"/>
        <s v="تربيزه رف سحاب"/>
        <s v="ركنة بسرير"/>
        <s v="سرير ثلاثه ادوار"/>
        <s v="سرير دورين"/>
        <s v="سرير فردى"/>
        <s v="سرير منطبق"/>
        <s v="شيزلونج"/>
        <s v="كرسى فنيسيا"/>
        <s v="كنبه 4×1"/>
        <s v="كنبه t1"/>
        <s v="كنبه سحارة"/>
        <s v="كنبه فنيسيا"/>
      </sharedItems>
    </cacheField>
    <cacheField name="[Measures].[Sum of المبيعات]" caption="Sum of المبيعات" numFmtId="0" hierarchy="23" level="32767"/>
    <cacheField name="[misue].[المحافظه].[المحافظه]" caption="المحافظه" numFmtId="0" hierarchy="1" level="1">
      <sharedItems containsSemiMixedTypes="0" containsNonDate="0" containsString="0"/>
    </cacheField>
  </cacheFields>
  <cacheHierarchies count="28">
    <cacheHierarchy uniqueName="[misue].[أسم العميل]" caption="أسم العميل" attribute="1" defaultMemberUniqueName="[misue].[أسم العميل].[All]" allUniqueName="[misue].[أسم العميل].[All]" dimensionUniqueName="[misue]" displayFolder="" count="0" memberValueDatatype="130" unbalanced="0"/>
    <cacheHierarchy uniqueName="[misue].[المحافظه]" caption="المحافظه" attribute="1" defaultMemberUniqueName="[misue].[المحافظه].[All]" allUniqueName="[misue].[المحافظه].[All]" dimensionUniqueName="[misue]" displayFolder="" count="2" memberValueDatatype="130" unbalanced="0">
      <fieldsUsage count="2">
        <fieldUsage x="-1"/>
        <fieldUsage x="2"/>
      </fieldsUsage>
    </cacheHierarchy>
    <cacheHierarchy uniqueName="[misue].[المدينه]" caption="المدينه" attribute="1" defaultMemberUniqueName="[misue].[المدينه].[All]" allUniqueName="[misue].[المدينه].[All]" dimensionUniqueName="[misue]" displayFolder="" count="0" memberValueDatatype="130" unbalanced="0"/>
    <cacheHierarchy uniqueName="[misue].[منصة البيع]" caption="منصة البيع" attribute="1" defaultMemberUniqueName="[misue].[منصة البيع].[All]" allUniqueName="[misue].[منصة البيع].[All]" dimensionUniqueName="[misue]" displayFolder="" count="0" memberValueDatatype="130" unbalanced="0"/>
    <cacheHierarchy uniqueName="[misue].[النوع]" caption="النوع" attribute="1" defaultMemberUniqueName="[misue].[النوع].[All]" allUniqueName="[misue].[النوع].[All]" dimensionUniqueName="[misue]" displayFolder="" count="2" memberValueDatatype="130" unbalanced="0">
      <fieldsUsage count="2">
        <fieldUsage x="-1"/>
        <fieldUsage x="0"/>
      </fieldsUsage>
    </cacheHierarchy>
    <cacheHierarchy uniqueName="[misue].[اللون المعدن]" caption="اللون المعدن" attribute="1" defaultMemberUniqueName="[misue].[اللون المعدن].[All]" allUniqueName="[misue].[اللون المعدن].[All]" dimensionUniqueName="[misue]" displayFolder="" count="0" memberValueDatatype="130" unbalanced="0"/>
    <cacheHierarchy uniqueName="[misue].[لون القماش]" caption="لون القماش" attribute="1" defaultMemberUniqueName="[misue].[لون القماش].[All]" allUniqueName="[misue].[لون القماش].[All]" dimensionUniqueName="[misue]" displayFolder="" count="0" memberValueDatatype="130" unbalanced="0"/>
    <cacheHierarchy uniqueName="[misue].[المبيعات]" caption="المبيعات" attribute="1" defaultMemberUniqueName="[misue].[المبيعات].[All]" allUniqueName="[misue].[المبيعات].[All]" dimensionUniqueName="[misue]" displayFolder="" count="0" memberValueDatatype="5" unbalanced="0"/>
    <cacheHierarchy uniqueName="[misue].[طريقه الدفع]" caption="طريقه الدفع" attribute="1" defaultMemberUniqueName="[misue].[طريقه الدفع].[All]" allUniqueName="[misue].[طريقه الدفع].[All]" dimensionUniqueName="[misue]" displayFolder="" count="0" memberValueDatatype="130" unbalanced="0"/>
    <cacheHierarchy uniqueName="[misue].[ميعاد الطلب]" caption="ميعاد الطلب" attribute="1" time="1" defaultMemberUniqueName="[misue].[ميعاد الطلب].[All]" allUniqueName="[misue].[ميعاد الطلب].[All]" dimensionUniqueName="[misue]" displayFolder="" count="0" memberValueDatatype="7" unbalanced="0"/>
    <cacheHierarchy uniqueName="[misue].[ميعاد التسليم]" caption="ميعاد التسليم" attribute="1" defaultMemberUniqueName="[misue].[ميعاد التسليم].[All]" allUniqueName="[misue].[ميعاد التسليم].[All]" dimensionUniqueName="[misue]" displayFolder="" count="0" memberValueDatatype="130" unbalanced="0"/>
    <cacheHierarchy uniqueName="[misue].[تاريخ التسليم]" caption="تاريخ التسليم" attribute="1" time="1" defaultMemberUniqueName="[misue].[تاريخ التسليم].[All]" allUniqueName="[misue].[تاريخ التسليم].[All]" dimensionUniqueName="[misue]" displayFolder="" count="0" memberValueDatatype="7" unbalanced="0"/>
    <cacheHierarchy uniqueName="[misue].[المسئول عن التسليم]" caption="المسئول عن التسليم" attribute="1" defaultMemberUniqueName="[misue].[المسئول عن التسليم].[All]" allUniqueName="[misue].[المسئول عن التسليم].[All]" dimensionUniqueName="[misue]" displayFolder="" count="0" memberValueDatatype="130" unbalanced="0"/>
    <cacheHierarchy uniqueName="[misue].[الحالة]" caption="الحالة" attribute="1" defaultMemberUniqueName="[misue].[الحالة].[All]" allUniqueName="[misue].[الحالة].[All]" dimensionUniqueName="[misue]" displayFolder="" count="0" memberValueDatatype="130" unbalanced="0"/>
    <cacheHierarchy uniqueName="[misue].[في الموعد]" caption="في الموعد" attribute="1" defaultMemberUniqueName="[misue].[في الموعد].[All]" allUniqueName="[misue].[في الموعد].[All]" dimensionUniqueName="[misue]" displayFolder="" count="0" memberValueDatatype="130" unbalanced="0"/>
    <cacheHierarchy uniqueName="[misue].[تاريخ التسليم (Month)]" caption="تاريخ التسليم (Month)" attribute="1" defaultMemberUniqueName="[misue].[تاريخ التسليم (Month)].[All]" allUniqueName="[misue].[تاريخ التسليم (Month)].[All]" dimensionUniqueName="[misue]" displayFolder="" count="0" memberValueDatatype="130" unbalanced="0"/>
    <cacheHierarchy uniqueName="[misue].[ميعاد الطلب (Year)]" caption="ميعاد الطلب (Year)" attribute="1" defaultMemberUniqueName="[misue].[ميعاد الطلب (Year)].[All]" allUniqueName="[misue].[ميعاد الطلب (Year)].[All]" dimensionUniqueName="[misue]" displayFolder="" count="0" memberValueDatatype="130" unbalanced="0"/>
    <cacheHierarchy uniqueName="[misue].[ميعاد الطلب (Quarter)]" caption="ميعاد الطلب (Quarter)" attribute="1" defaultMemberUniqueName="[misue].[ميعاد الطلب (Quarter)].[All]" allUniqueName="[misue].[ميعاد الطلب (Quarter)].[All]" dimensionUniqueName="[misue]" displayFolder="" count="0" memberValueDatatype="130" unbalanced="0"/>
    <cacheHierarchy uniqueName="[misue].[ميعاد الطلب (Month)]" caption="ميعاد الطلب (Month)" attribute="1" defaultMemberUniqueName="[misue].[ميعاد الطلب (Month)].[All]" allUniqueName="[misue].[ميعاد الطلب (Month)].[All]" dimensionUniqueName="[misue]" displayFolder="" count="0" memberValueDatatype="130" unbalanced="0"/>
    <cacheHierarchy uniqueName="[misue].[تاريخ التسليم (Month Index)]" caption="تاريخ التسليم (Month Index)" attribute="1" defaultMemberUniqueName="[misue].[تاريخ التسليم (Month Index)].[All]" allUniqueName="[misue].[تاريخ التسليم (Month Index)].[All]" dimensionUniqueName="[misue]" displayFolder="" count="0" memberValueDatatype="20" unbalanced="0" hidden="1"/>
    <cacheHierarchy uniqueName="[misue].[ميعاد الطلب (Month Index)]" caption="ميعاد الطلب (Month Index)" attribute="1" defaultMemberUniqueName="[misue].[ميعاد الطلب (Month Index)].[All]" allUniqueName="[misue].[ميعاد الطلب (Month Index)].[All]" dimensionUniqueName="[misue]" displayFolder="" count="0" memberValueDatatype="20" unbalanced="0" hidden="1"/>
    <cacheHierarchy uniqueName="[Measures].[__XL_Count misue]" caption="__XL_Count misue" measure="1" displayFolder="" measureGroup="misue" count="0" hidden="1"/>
    <cacheHierarchy uniqueName="[Measures].[__No measures defined]" caption="__No measures defined" measure="1" displayFolder="" count="0" hidden="1"/>
    <cacheHierarchy uniqueName="[Measures].[Sum of المبيعات]" caption="Sum of المبيعات" measure="1" displayFolder="" measureGroup="misu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المبيعات]" caption="Count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Average of المبيعات]" caption="Average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Count of أسم العميل]" caption="Count of أسم العميل" measure="1" displayFolder="" measureGroup="misue" count="0" hidden="1">
      <extLst>
        <ext xmlns:x15="http://schemas.microsoft.com/office/spreadsheetml/2010/11/main" uri="{B97F6D7D-B522-45F9-BDA1-12C45D357490}">
          <x15:cacheHierarchy aggregatedColumn="0"/>
        </ext>
      </extLst>
    </cacheHierarchy>
    <cacheHierarchy uniqueName="[Measures].[Count of في الموعد]" caption="Count of في الموعد" measure="1" displayFolder="" measureGroup="misu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misue" uniqueName="[misue]" caption="misue"/>
  </dimensions>
  <measureGroups count="1">
    <measureGroup name="misue" caption="misu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0.493612384256" backgroundQuery="1" createdVersion="8" refreshedVersion="8" minRefreshableVersion="3" recordCount="0" supportSubquery="1" supportAdvancedDrill="1" xr:uid="{B109D781-41BC-4420-8491-51AC02C662B3}">
  <cacheSource type="external" connectionId="2"/>
  <cacheFields count="3">
    <cacheField name="[misue].[في الموعد].[في الموعد]" caption="في الموعد" numFmtId="0" hierarchy="14" level="1">
      <sharedItems count="3">
        <s v="في الموعد"/>
        <s v="متاخر"/>
        <s v="ملغي"/>
      </sharedItems>
    </cacheField>
    <cacheField name="[Measures].[Count of في الموعد]" caption="Count of في الموعد" numFmtId="0" hierarchy="27" level="32767"/>
    <cacheField name="[misue].[المحافظه].[المحافظه]" caption="المحافظه" numFmtId="0" hierarchy="1" level="1">
      <sharedItems containsSemiMixedTypes="0" containsNonDate="0" containsString="0"/>
    </cacheField>
  </cacheFields>
  <cacheHierarchies count="28">
    <cacheHierarchy uniqueName="[misue].[أسم العميل]" caption="أسم العميل" attribute="1" defaultMemberUniqueName="[misue].[أسم العميل].[All]" allUniqueName="[misue].[أسم العميل].[All]" dimensionUniqueName="[misue]" displayFolder="" count="0" memberValueDatatype="130" unbalanced="0"/>
    <cacheHierarchy uniqueName="[misue].[المحافظه]" caption="المحافظه" attribute="1" defaultMemberUniqueName="[misue].[المحافظه].[All]" allUniqueName="[misue].[المحافظه].[All]" dimensionUniqueName="[misue]" displayFolder="" count="2" memberValueDatatype="130" unbalanced="0">
      <fieldsUsage count="2">
        <fieldUsage x="-1"/>
        <fieldUsage x="2"/>
      </fieldsUsage>
    </cacheHierarchy>
    <cacheHierarchy uniqueName="[misue].[المدينه]" caption="المدينه" attribute="1" defaultMemberUniqueName="[misue].[المدينه].[All]" allUniqueName="[misue].[المدينه].[All]" dimensionUniqueName="[misue]" displayFolder="" count="0" memberValueDatatype="130" unbalanced="0"/>
    <cacheHierarchy uniqueName="[misue].[منصة البيع]" caption="منصة البيع" attribute="1" defaultMemberUniqueName="[misue].[منصة البيع].[All]" allUniqueName="[misue].[منصة البيع].[All]" dimensionUniqueName="[misue]" displayFolder="" count="0" memberValueDatatype="130" unbalanced="0"/>
    <cacheHierarchy uniqueName="[misue].[النوع]" caption="النوع" attribute="1" defaultMemberUniqueName="[misue].[النوع].[All]" allUniqueName="[misue].[النوع].[All]" dimensionUniqueName="[misue]" displayFolder="" count="0" memberValueDatatype="130" unbalanced="0"/>
    <cacheHierarchy uniqueName="[misue].[اللون المعدن]" caption="اللون المعدن" attribute="1" defaultMemberUniqueName="[misue].[اللون المعدن].[All]" allUniqueName="[misue].[اللون المعدن].[All]" dimensionUniqueName="[misue]" displayFolder="" count="0" memberValueDatatype="130" unbalanced="0"/>
    <cacheHierarchy uniqueName="[misue].[لون القماش]" caption="لون القماش" attribute="1" defaultMemberUniqueName="[misue].[لون القماش].[All]" allUniqueName="[misue].[لون القماش].[All]" dimensionUniqueName="[misue]" displayFolder="" count="0" memberValueDatatype="130" unbalanced="0"/>
    <cacheHierarchy uniqueName="[misue].[المبيعات]" caption="المبيعات" attribute="1" defaultMemberUniqueName="[misue].[المبيعات].[All]" allUniqueName="[misue].[المبيعات].[All]" dimensionUniqueName="[misue]" displayFolder="" count="0" memberValueDatatype="5" unbalanced="0"/>
    <cacheHierarchy uniqueName="[misue].[طريقه الدفع]" caption="طريقه الدفع" attribute="1" defaultMemberUniqueName="[misue].[طريقه الدفع].[All]" allUniqueName="[misue].[طريقه الدفع].[All]" dimensionUniqueName="[misue]" displayFolder="" count="0" memberValueDatatype="130" unbalanced="0"/>
    <cacheHierarchy uniqueName="[misue].[ميعاد الطلب]" caption="ميعاد الطلب" attribute="1" time="1" defaultMemberUniqueName="[misue].[ميعاد الطلب].[All]" allUniqueName="[misue].[ميعاد الطلب].[All]" dimensionUniqueName="[misue]" displayFolder="" count="0" memberValueDatatype="7" unbalanced="0"/>
    <cacheHierarchy uniqueName="[misue].[ميعاد التسليم]" caption="ميعاد التسليم" attribute="1" defaultMemberUniqueName="[misue].[ميعاد التسليم].[All]" allUniqueName="[misue].[ميعاد التسليم].[All]" dimensionUniqueName="[misue]" displayFolder="" count="0" memberValueDatatype="130" unbalanced="0"/>
    <cacheHierarchy uniqueName="[misue].[تاريخ التسليم]" caption="تاريخ التسليم" attribute="1" time="1" defaultMemberUniqueName="[misue].[تاريخ التسليم].[All]" allUniqueName="[misue].[تاريخ التسليم].[All]" dimensionUniqueName="[misue]" displayFolder="" count="0" memberValueDatatype="7" unbalanced="0"/>
    <cacheHierarchy uniqueName="[misue].[المسئول عن التسليم]" caption="المسئول عن التسليم" attribute="1" defaultMemberUniqueName="[misue].[المسئول عن التسليم].[All]" allUniqueName="[misue].[المسئول عن التسليم].[All]" dimensionUniqueName="[misue]" displayFolder="" count="0" memberValueDatatype="130" unbalanced="0"/>
    <cacheHierarchy uniqueName="[misue].[الحالة]" caption="الحالة" attribute="1" defaultMemberUniqueName="[misue].[الحالة].[All]" allUniqueName="[misue].[الحالة].[All]" dimensionUniqueName="[misue]" displayFolder="" count="0" memberValueDatatype="130" unbalanced="0"/>
    <cacheHierarchy uniqueName="[misue].[في الموعد]" caption="في الموعد" attribute="1" defaultMemberUniqueName="[misue].[في الموعد].[All]" allUniqueName="[misue].[في الموعد].[All]" dimensionUniqueName="[misue]" displayFolder="" count="2" memberValueDatatype="130" unbalanced="0">
      <fieldsUsage count="2">
        <fieldUsage x="-1"/>
        <fieldUsage x="0"/>
      </fieldsUsage>
    </cacheHierarchy>
    <cacheHierarchy uniqueName="[misue].[تاريخ التسليم (Month)]" caption="تاريخ التسليم (Month)" attribute="1" defaultMemberUniqueName="[misue].[تاريخ التسليم (Month)].[All]" allUniqueName="[misue].[تاريخ التسليم (Month)].[All]" dimensionUniqueName="[misue]" displayFolder="" count="0" memberValueDatatype="130" unbalanced="0"/>
    <cacheHierarchy uniqueName="[misue].[ميعاد الطلب (Year)]" caption="ميعاد الطلب (Year)" attribute="1" defaultMemberUniqueName="[misue].[ميعاد الطلب (Year)].[All]" allUniqueName="[misue].[ميعاد الطلب (Year)].[All]" dimensionUniqueName="[misue]" displayFolder="" count="0" memberValueDatatype="130" unbalanced="0"/>
    <cacheHierarchy uniqueName="[misue].[ميعاد الطلب (Quarter)]" caption="ميعاد الطلب (Quarter)" attribute="1" defaultMemberUniqueName="[misue].[ميعاد الطلب (Quarter)].[All]" allUniqueName="[misue].[ميعاد الطلب (Quarter)].[All]" dimensionUniqueName="[misue]" displayFolder="" count="0" memberValueDatatype="130" unbalanced="0"/>
    <cacheHierarchy uniqueName="[misue].[ميعاد الطلب (Month)]" caption="ميعاد الطلب (Month)" attribute="1" defaultMemberUniqueName="[misue].[ميعاد الطلب (Month)].[All]" allUniqueName="[misue].[ميعاد الطلب (Month)].[All]" dimensionUniqueName="[misue]" displayFolder="" count="0" memberValueDatatype="130" unbalanced="0"/>
    <cacheHierarchy uniqueName="[misue].[تاريخ التسليم (Month Index)]" caption="تاريخ التسليم (Month Index)" attribute="1" defaultMemberUniqueName="[misue].[تاريخ التسليم (Month Index)].[All]" allUniqueName="[misue].[تاريخ التسليم (Month Index)].[All]" dimensionUniqueName="[misue]" displayFolder="" count="0" memberValueDatatype="20" unbalanced="0" hidden="1"/>
    <cacheHierarchy uniqueName="[misue].[ميعاد الطلب (Month Index)]" caption="ميعاد الطلب (Month Index)" attribute="1" defaultMemberUniqueName="[misue].[ميعاد الطلب (Month Index)].[All]" allUniqueName="[misue].[ميعاد الطلب (Month Index)].[All]" dimensionUniqueName="[misue]" displayFolder="" count="0" memberValueDatatype="20" unbalanced="0" hidden="1"/>
    <cacheHierarchy uniqueName="[Measures].[__XL_Count misue]" caption="__XL_Count misue" measure="1" displayFolder="" measureGroup="misue" count="0" hidden="1"/>
    <cacheHierarchy uniqueName="[Measures].[__No measures defined]" caption="__No measures defined" measure="1" displayFolder="" count="0" hidden="1"/>
    <cacheHierarchy uniqueName="[Measures].[Sum of المبيعات]" caption="Sum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Count of المبيعات]" caption="Count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Average of المبيعات]" caption="Average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Count of أسم العميل]" caption="Count of أسم العميل" measure="1" displayFolder="" measureGroup="misue" count="0" hidden="1">
      <extLst>
        <ext xmlns:x15="http://schemas.microsoft.com/office/spreadsheetml/2010/11/main" uri="{B97F6D7D-B522-45F9-BDA1-12C45D357490}">
          <x15:cacheHierarchy aggregatedColumn="0"/>
        </ext>
      </extLst>
    </cacheHierarchy>
    <cacheHierarchy uniqueName="[Measures].[Count of في الموعد]" caption="Count of في الموعد" measure="1" displayFolder="" measureGroup="misue"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misue" uniqueName="[misue]" caption="misue"/>
  </dimensions>
  <measureGroups count="1">
    <measureGroup name="misue" caption="misu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0.493612962964" backgroundQuery="1" createdVersion="8" refreshedVersion="8" minRefreshableVersion="3" recordCount="0" supportSubquery="1" supportAdvancedDrill="1" xr:uid="{66CF1E52-2366-4E37-B59B-F5380DC8801C}">
  <cacheSource type="external" connectionId="2"/>
  <cacheFields count="3">
    <cacheField name="[misue].[ميعاد الطلب (Month)].[ميعاد الطلب (Month)]" caption="ميعاد الطلب (Month)" numFmtId="0" hierarchy="18" level="1">
      <sharedItems count="6">
        <s v="Jul"/>
        <s v="Aug"/>
        <s v="Sep"/>
        <s v="Oct"/>
        <s v="Nov"/>
        <s v="Dec"/>
      </sharedItems>
    </cacheField>
    <cacheField name="[Measures].[Sum of المبيعات]" caption="Sum of المبيعات" numFmtId="0" hierarchy="23" level="32767"/>
    <cacheField name="[misue].[المحافظه].[المحافظه]" caption="المحافظه" numFmtId="0" hierarchy="1" level="1">
      <sharedItems containsSemiMixedTypes="0" containsNonDate="0" containsString="0"/>
    </cacheField>
  </cacheFields>
  <cacheHierarchies count="28">
    <cacheHierarchy uniqueName="[misue].[أسم العميل]" caption="أسم العميل" attribute="1" defaultMemberUniqueName="[misue].[أسم العميل].[All]" allUniqueName="[misue].[أسم العميل].[All]" dimensionUniqueName="[misue]" displayFolder="" count="0" memberValueDatatype="130" unbalanced="0"/>
    <cacheHierarchy uniqueName="[misue].[المحافظه]" caption="المحافظه" attribute="1" defaultMemberUniqueName="[misue].[المحافظه].[All]" allUniqueName="[misue].[المحافظه].[All]" dimensionUniqueName="[misue]" displayFolder="" count="2" memberValueDatatype="130" unbalanced="0">
      <fieldsUsage count="2">
        <fieldUsage x="-1"/>
        <fieldUsage x="2"/>
      </fieldsUsage>
    </cacheHierarchy>
    <cacheHierarchy uniqueName="[misue].[المدينه]" caption="المدينه" attribute="1" defaultMemberUniqueName="[misue].[المدينه].[All]" allUniqueName="[misue].[المدينه].[All]" dimensionUniqueName="[misue]" displayFolder="" count="0" memberValueDatatype="130" unbalanced="0"/>
    <cacheHierarchy uniqueName="[misue].[منصة البيع]" caption="منصة البيع" attribute="1" defaultMemberUniqueName="[misue].[منصة البيع].[All]" allUniqueName="[misue].[منصة البيع].[All]" dimensionUniqueName="[misue]" displayFolder="" count="0" memberValueDatatype="130" unbalanced="0"/>
    <cacheHierarchy uniqueName="[misue].[النوع]" caption="النوع" attribute="1" defaultMemberUniqueName="[misue].[النوع].[All]" allUniqueName="[misue].[النوع].[All]" dimensionUniqueName="[misue]" displayFolder="" count="0" memberValueDatatype="130" unbalanced="0"/>
    <cacheHierarchy uniqueName="[misue].[اللون المعدن]" caption="اللون المعدن" attribute="1" defaultMemberUniqueName="[misue].[اللون المعدن].[All]" allUniqueName="[misue].[اللون المعدن].[All]" dimensionUniqueName="[misue]" displayFolder="" count="0" memberValueDatatype="130" unbalanced="0"/>
    <cacheHierarchy uniqueName="[misue].[لون القماش]" caption="لون القماش" attribute="1" defaultMemberUniqueName="[misue].[لون القماش].[All]" allUniqueName="[misue].[لون القماش].[All]" dimensionUniqueName="[misue]" displayFolder="" count="0" memberValueDatatype="130" unbalanced="0"/>
    <cacheHierarchy uniqueName="[misue].[المبيعات]" caption="المبيعات" attribute="1" defaultMemberUniqueName="[misue].[المبيعات].[All]" allUniqueName="[misue].[المبيعات].[All]" dimensionUniqueName="[misue]" displayFolder="" count="0" memberValueDatatype="5" unbalanced="0"/>
    <cacheHierarchy uniqueName="[misue].[طريقه الدفع]" caption="طريقه الدفع" attribute="1" defaultMemberUniqueName="[misue].[طريقه الدفع].[All]" allUniqueName="[misue].[طريقه الدفع].[All]" dimensionUniqueName="[misue]" displayFolder="" count="0" memberValueDatatype="130" unbalanced="0"/>
    <cacheHierarchy uniqueName="[misue].[ميعاد الطلب]" caption="ميعاد الطلب" attribute="1" time="1" defaultMemberUniqueName="[misue].[ميعاد الطلب].[All]" allUniqueName="[misue].[ميعاد الطلب].[All]" dimensionUniqueName="[misue]" displayFolder="" count="2" memberValueDatatype="7" unbalanced="0"/>
    <cacheHierarchy uniqueName="[misue].[ميعاد التسليم]" caption="ميعاد التسليم" attribute="1" defaultMemberUniqueName="[misue].[ميعاد التسليم].[All]" allUniqueName="[misue].[ميعاد التسليم].[All]" dimensionUniqueName="[misue]" displayFolder="" count="0" memberValueDatatype="130" unbalanced="0"/>
    <cacheHierarchy uniqueName="[misue].[تاريخ التسليم]" caption="تاريخ التسليم" attribute="1" time="1" defaultMemberUniqueName="[misue].[تاريخ التسليم].[All]" allUniqueName="[misue].[تاريخ التسليم].[All]" dimensionUniqueName="[misue]" displayFolder="" count="0" memberValueDatatype="7" unbalanced="0"/>
    <cacheHierarchy uniqueName="[misue].[المسئول عن التسليم]" caption="المسئول عن التسليم" attribute="1" defaultMemberUniqueName="[misue].[المسئول عن التسليم].[All]" allUniqueName="[misue].[المسئول عن التسليم].[All]" dimensionUniqueName="[misue]" displayFolder="" count="0" memberValueDatatype="130" unbalanced="0"/>
    <cacheHierarchy uniqueName="[misue].[الحالة]" caption="الحالة" attribute="1" defaultMemberUniqueName="[misue].[الحالة].[All]" allUniqueName="[misue].[الحالة].[All]" dimensionUniqueName="[misue]" displayFolder="" count="0" memberValueDatatype="130" unbalanced="0"/>
    <cacheHierarchy uniqueName="[misue].[في الموعد]" caption="في الموعد" attribute="1" defaultMemberUniqueName="[misue].[في الموعد].[All]" allUniqueName="[misue].[في الموعد].[All]" dimensionUniqueName="[misue]" displayFolder="" count="0" memberValueDatatype="130" unbalanced="0"/>
    <cacheHierarchy uniqueName="[misue].[تاريخ التسليم (Month)]" caption="تاريخ التسليم (Month)" attribute="1" defaultMemberUniqueName="[misue].[تاريخ التسليم (Month)].[All]" allUniqueName="[misue].[تاريخ التسليم (Month)].[All]" dimensionUniqueName="[misue]" displayFolder="" count="0" memberValueDatatype="130" unbalanced="0"/>
    <cacheHierarchy uniqueName="[misue].[ميعاد الطلب (Year)]" caption="ميعاد الطلب (Year)" attribute="1" defaultMemberUniqueName="[misue].[ميعاد الطلب (Year)].[All]" allUniqueName="[misue].[ميعاد الطلب (Year)].[All]" dimensionUniqueName="[misue]" displayFolder="" count="2" memberValueDatatype="130" unbalanced="0"/>
    <cacheHierarchy uniqueName="[misue].[ميعاد الطلب (Quarter)]" caption="ميعاد الطلب (Quarter)" attribute="1" defaultMemberUniqueName="[misue].[ميعاد الطلب (Quarter)].[All]" allUniqueName="[misue].[ميعاد الطلب (Quarter)].[All]" dimensionUniqueName="[misue]" displayFolder="" count="2" memberValueDatatype="130" unbalanced="0"/>
    <cacheHierarchy uniqueName="[misue].[ميعاد الطلب (Month)]" caption="ميعاد الطلب (Month)" attribute="1" defaultMemberUniqueName="[misue].[ميعاد الطلب (Month)].[All]" allUniqueName="[misue].[ميعاد الطلب (Month)].[All]" dimensionUniqueName="[misue]" displayFolder="" count="2" memberValueDatatype="130" unbalanced="0">
      <fieldsUsage count="2">
        <fieldUsage x="-1"/>
        <fieldUsage x="0"/>
      </fieldsUsage>
    </cacheHierarchy>
    <cacheHierarchy uniqueName="[misue].[تاريخ التسليم (Month Index)]" caption="تاريخ التسليم (Month Index)" attribute="1" defaultMemberUniqueName="[misue].[تاريخ التسليم (Month Index)].[All]" allUniqueName="[misue].[تاريخ التسليم (Month Index)].[All]" dimensionUniqueName="[misue]" displayFolder="" count="0" memberValueDatatype="20" unbalanced="0" hidden="1"/>
    <cacheHierarchy uniqueName="[misue].[ميعاد الطلب (Month Index)]" caption="ميعاد الطلب (Month Index)" attribute="1" defaultMemberUniqueName="[misue].[ميعاد الطلب (Month Index)].[All]" allUniqueName="[misue].[ميعاد الطلب (Month Index)].[All]" dimensionUniqueName="[misue]" displayFolder="" count="0" memberValueDatatype="20" unbalanced="0" hidden="1"/>
    <cacheHierarchy uniqueName="[Measures].[__XL_Count misue]" caption="__XL_Count misue" measure="1" displayFolder="" measureGroup="misue" count="0" hidden="1"/>
    <cacheHierarchy uniqueName="[Measures].[__No measures defined]" caption="__No measures defined" measure="1" displayFolder="" count="0" hidden="1"/>
    <cacheHierarchy uniqueName="[Measures].[Sum of المبيعات]" caption="Sum of المبيعات" measure="1" displayFolder="" measureGroup="misu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المبيعات]" caption="Count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Average of المبيعات]" caption="Average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Count of أسم العميل]" caption="Count of أسم العميل" measure="1" displayFolder="" measureGroup="misue" count="0" hidden="1">
      <extLst>
        <ext xmlns:x15="http://schemas.microsoft.com/office/spreadsheetml/2010/11/main" uri="{B97F6D7D-B522-45F9-BDA1-12C45D357490}">
          <x15:cacheHierarchy aggregatedColumn="0"/>
        </ext>
      </extLst>
    </cacheHierarchy>
    <cacheHierarchy uniqueName="[Measures].[Count of في الموعد]" caption="Count of في الموعد" measure="1" displayFolder="" measureGroup="misu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misue" uniqueName="[misue]" caption="misue"/>
  </dimensions>
  <measureGroups count="1">
    <measureGroup name="misue" caption="misu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0.493613541665" backgroundQuery="1" createdVersion="8" refreshedVersion="8" minRefreshableVersion="3" recordCount="0" supportSubquery="1" supportAdvancedDrill="1" xr:uid="{2BC2E90A-1041-4A0C-B384-941058DE6730}">
  <cacheSource type="external" connectionId="2"/>
  <cacheFields count="3">
    <cacheField name="[misue].[منصة البيع].[منصة البيع]" caption="منصة البيع" numFmtId="0" hierarchy="3" level="1">
      <sharedItems count="7">
        <s v="السويس"/>
        <s v="اوسكار ريتن"/>
        <s v="تاكى"/>
        <s v="فيسبوك"/>
        <s v="كيمت"/>
        <s v="منزلي"/>
        <s v="هومزمارت"/>
      </sharedItems>
    </cacheField>
    <cacheField name="[Measures].[Sum of المبيعات]" caption="Sum of المبيعات" numFmtId="0" hierarchy="23" level="32767"/>
    <cacheField name="[misue].[المحافظه].[المحافظه]" caption="المحافظه" numFmtId="0" hierarchy="1" level="1">
      <sharedItems containsSemiMixedTypes="0" containsNonDate="0" containsString="0"/>
    </cacheField>
  </cacheFields>
  <cacheHierarchies count="28">
    <cacheHierarchy uniqueName="[misue].[أسم العميل]" caption="أسم العميل" attribute="1" defaultMemberUniqueName="[misue].[أسم العميل].[All]" allUniqueName="[misue].[أسم العميل].[All]" dimensionUniqueName="[misue]" displayFolder="" count="0" memberValueDatatype="130" unbalanced="0"/>
    <cacheHierarchy uniqueName="[misue].[المحافظه]" caption="المحافظه" attribute="1" defaultMemberUniqueName="[misue].[المحافظه].[All]" allUniqueName="[misue].[المحافظه].[All]" dimensionUniqueName="[misue]" displayFolder="" count="2" memberValueDatatype="130" unbalanced="0">
      <fieldsUsage count="2">
        <fieldUsage x="-1"/>
        <fieldUsage x="2"/>
      </fieldsUsage>
    </cacheHierarchy>
    <cacheHierarchy uniqueName="[misue].[المدينه]" caption="المدينه" attribute="1" defaultMemberUniqueName="[misue].[المدينه].[All]" allUniqueName="[misue].[المدينه].[All]" dimensionUniqueName="[misue]" displayFolder="" count="0" memberValueDatatype="130" unbalanced="0"/>
    <cacheHierarchy uniqueName="[misue].[منصة البيع]" caption="منصة البيع" attribute="1" defaultMemberUniqueName="[misue].[منصة البيع].[All]" allUniqueName="[misue].[منصة البيع].[All]" dimensionUniqueName="[misue]" displayFolder="" count="2" memberValueDatatype="130" unbalanced="0">
      <fieldsUsage count="2">
        <fieldUsage x="-1"/>
        <fieldUsage x="0"/>
      </fieldsUsage>
    </cacheHierarchy>
    <cacheHierarchy uniqueName="[misue].[النوع]" caption="النوع" attribute="1" defaultMemberUniqueName="[misue].[النوع].[All]" allUniqueName="[misue].[النوع].[All]" dimensionUniqueName="[misue]" displayFolder="" count="0" memberValueDatatype="130" unbalanced="0"/>
    <cacheHierarchy uniqueName="[misue].[اللون المعدن]" caption="اللون المعدن" attribute="1" defaultMemberUniqueName="[misue].[اللون المعدن].[All]" allUniqueName="[misue].[اللون المعدن].[All]" dimensionUniqueName="[misue]" displayFolder="" count="0" memberValueDatatype="130" unbalanced="0"/>
    <cacheHierarchy uniqueName="[misue].[لون القماش]" caption="لون القماش" attribute="1" defaultMemberUniqueName="[misue].[لون القماش].[All]" allUniqueName="[misue].[لون القماش].[All]" dimensionUniqueName="[misue]" displayFolder="" count="0" memberValueDatatype="130" unbalanced="0"/>
    <cacheHierarchy uniqueName="[misue].[المبيعات]" caption="المبيعات" attribute="1" defaultMemberUniqueName="[misue].[المبيعات].[All]" allUniqueName="[misue].[المبيعات].[All]" dimensionUniqueName="[misue]" displayFolder="" count="0" memberValueDatatype="5" unbalanced="0"/>
    <cacheHierarchy uniqueName="[misue].[طريقه الدفع]" caption="طريقه الدفع" attribute="1" defaultMemberUniqueName="[misue].[طريقه الدفع].[All]" allUniqueName="[misue].[طريقه الدفع].[All]" dimensionUniqueName="[misue]" displayFolder="" count="0" memberValueDatatype="130" unbalanced="0"/>
    <cacheHierarchy uniqueName="[misue].[ميعاد الطلب]" caption="ميعاد الطلب" attribute="1" time="1" defaultMemberUniqueName="[misue].[ميعاد الطلب].[All]" allUniqueName="[misue].[ميعاد الطلب].[All]" dimensionUniqueName="[misue]" displayFolder="" count="0" memberValueDatatype="7" unbalanced="0"/>
    <cacheHierarchy uniqueName="[misue].[ميعاد التسليم]" caption="ميعاد التسليم" attribute="1" defaultMemberUniqueName="[misue].[ميعاد التسليم].[All]" allUniqueName="[misue].[ميعاد التسليم].[All]" dimensionUniqueName="[misue]" displayFolder="" count="0" memberValueDatatype="130" unbalanced="0"/>
    <cacheHierarchy uniqueName="[misue].[تاريخ التسليم]" caption="تاريخ التسليم" attribute="1" time="1" defaultMemberUniqueName="[misue].[تاريخ التسليم].[All]" allUniqueName="[misue].[تاريخ التسليم].[All]" dimensionUniqueName="[misue]" displayFolder="" count="0" memberValueDatatype="7" unbalanced="0"/>
    <cacheHierarchy uniqueName="[misue].[المسئول عن التسليم]" caption="المسئول عن التسليم" attribute="1" defaultMemberUniqueName="[misue].[المسئول عن التسليم].[All]" allUniqueName="[misue].[المسئول عن التسليم].[All]" dimensionUniqueName="[misue]" displayFolder="" count="0" memberValueDatatype="130" unbalanced="0"/>
    <cacheHierarchy uniqueName="[misue].[الحالة]" caption="الحالة" attribute="1" defaultMemberUniqueName="[misue].[الحالة].[All]" allUniqueName="[misue].[الحالة].[All]" dimensionUniqueName="[misue]" displayFolder="" count="0" memberValueDatatype="130" unbalanced="0"/>
    <cacheHierarchy uniqueName="[misue].[في الموعد]" caption="في الموعد" attribute="1" defaultMemberUniqueName="[misue].[في الموعد].[All]" allUniqueName="[misue].[في الموعد].[All]" dimensionUniqueName="[misue]" displayFolder="" count="0" memberValueDatatype="130" unbalanced="0"/>
    <cacheHierarchy uniqueName="[misue].[تاريخ التسليم (Month)]" caption="تاريخ التسليم (Month)" attribute="1" defaultMemberUniqueName="[misue].[تاريخ التسليم (Month)].[All]" allUniqueName="[misue].[تاريخ التسليم (Month)].[All]" dimensionUniqueName="[misue]" displayFolder="" count="0" memberValueDatatype="130" unbalanced="0"/>
    <cacheHierarchy uniqueName="[misue].[ميعاد الطلب (Year)]" caption="ميعاد الطلب (Year)" attribute="1" defaultMemberUniqueName="[misue].[ميعاد الطلب (Year)].[All]" allUniqueName="[misue].[ميعاد الطلب (Year)].[All]" dimensionUniqueName="[misue]" displayFolder="" count="0" memberValueDatatype="130" unbalanced="0"/>
    <cacheHierarchy uniqueName="[misue].[ميعاد الطلب (Quarter)]" caption="ميعاد الطلب (Quarter)" attribute="1" defaultMemberUniqueName="[misue].[ميعاد الطلب (Quarter)].[All]" allUniqueName="[misue].[ميعاد الطلب (Quarter)].[All]" dimensionUniqueName="[misue]" displayFolder="" count="0" memberValueDatatype="130" unbalanced="0"/>
    <cacheHierarchy uniqueName="[misue].[ميعاد الطلب (Month)]" caption="ميعاد الطلب (Month)" attribute="1" defaultMemberUniqueName="[misue].[ميعاد الطلب (Month)].[All]" allUniqueName="[misue].[ميعاد الطلب (Month)].[All]" dimensionUniqueName="[misue]" displayFolder="" count="0" memberValueDatatype="130" unbalanced="0"/>
    <cacheHierarchy uniqueName="[misue].[تاريخ التسليم (Month Index)]" caption="تاريخ التسليم (Month Index)" attribute="1" defaultMemberUniqueName="[misue].[تاريخ التسليم (Month Index)].[All]" allUniqueName="[misue].[تاريخ التسليم (Month Index)].[All]" dimensionUniqueName="[misue]" displayFolder="" count="0" memberValueDatatype="20" unbalanced="0" hidden="1"/>
    <cacheHierarchy uniqueName="[misue].[ميعاد الطلب (Month Index)]" caption="ميعاد الطلب (Month Index)" attribute="1" defaultMemberUniqueName="[misue].[ميعاد الطلب (Month Index)].[All]" allUniqueName="[misue].[ميعاد الطلب (Month Index)].[All]" dimensionUniqueName="[misue]" displayFolder="" count="0" memberValueDatatype="20" unbalanced="0" hidden="1"/>
    <cacheHierarchy uniqueName="[Measures].[__XL_Count misue]" caption="__XL_Count misue" measure="1" displayFolder="" measureGroup="misue" count="0" hidden="1"/>
    <cacheHierarchy uniqueName="[Measures].[__No measures defined]" caption="__No measures defined" measure="1" displayFolder="" count="0" hidden="1"/>
    <cacheHierarchy uniqueName="[Measures].[Sum of المبيعات]" caption="Sum of المبيعات" measure="1" displayFolder="" measureGroup="misu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المبيعات]" caption="Count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Average of المبيعات]" caption="Average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Count of أسم العميل]" caption="Count of أسم العميل" measure="1" displayFolder="" measureGroup="misue" count="0" hidden="1">
      <extLst>
        <ext xmlns:x15="http://schemas.microsoft.com/office/spreadsheetml/2010/11/main" uri="{B97F6D7D-B522-45F9-BDA1-12C45D357490}">
          <x15:cacheHierarchy aggregatedColumn="0"/>
        </ext>
      </extLst>
    </cacheHierarchy>
    <cacheHierarchy uniqueName="[Measures].[Count of في الموعد]" caption="Count of في الموعد" measure="1" displayFolder="" measureGroup="misu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misue" uniqueName="[misue]" caption="misue"/>
  </dimensions>
  <measureGroups count="1">
    <measureGroup name="misue" caption="misu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09.568014699071" backgroundQuery="1" createdVersion="3" refreshedVersion="8" minRefreshableVersion="3" recordCount="0" supportSubquery="1" supportAdvancedDrill="1" xr:uid="{CA06F0FA-117A-46C3-A53F-8B2AC678589E}">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misue].[أسم العميل]" caption="أسم العميل" attribute="1" defaultMemberUniqueName="[misue].[أسم العميل].[All]" allUniqueName="[misue].[أسم العميل].[All]" dimensionUniqueName="[misue]" displayFolder="" count="0" memberValueDatatype="130" unbalanced="0"/>
    <cacheHierarchy uniqueName="[misue].[المحافظه]" caption="المحافظه" attribute="1" defaultMemberUniqueName="[misue].[المحافظه].[All]" allUniqueName="[misue].[المحافظه].[All]" dimensionUniqueName="[misue]" displayFolder="" count="2" memberValueDatatype="130" unbalanced="0"/>
    <cacheHierarchy uniqueName="[misue].[المدينه]" caption="المدينه" attribute="1" defaultMemberUniqueName="[misue].[المدينه].[All]" allUniqueName="[misue].[المدينه].[All]" dimensionUniqueName="[misue]" displayFolder="" count="0" memberValueDatatype="130" unbalanced="0"/>
    <cacheHierarchy uniqueName="[misue].[منصة البيع]" caption="منصة البيع" attribute="1" defaultMemberUniqueName="[misue].[منصة البيع].[All]" allUniqueName="[misue].[منصة البيع].[All]" dimensionUniqueName="[misue]" displayFolder="" count="0" memberValueDatatype="130" unbalanced="0"/>
    <cacheHierarchy uniqueName="[misue].[النوع]" caption="النوع" attribute="1" defaultMemberUniqueName="[misue].[النوع].[All]" allUniqueName="[misue].[النوع].[All]" dimensionUniqueName="[misue]" displayFolder="" count="0" memberValueDatatype="130" unbalanced="0"/>
    <cacheHierarchy uniqueName="[misue].[اللون المعدن]" caption="اللون المعدن" attribute="1" defaultMemberUniqueName="[misue].[اللون المعدن].[All]" allUniqueName="[misue].[اللون المعدن].[All]" dimensionUniqueName="[misue]" displayFolder="" count="0" memberValueDatatype="130" unbalanced="0"/>
    <cacheHierarchy uniqueName="[misue].[لون القماش]" caption="لون القماش" attribute="1" defaultMemberUniqueName="[misue].[لون القماش].[All]" allUniqueName="[misue].[لون القماش].[All]" dimensionUniqueName="[misue]" displayFolder="" count="0" memberValueDatatype="130" unbalanced="0"/>
    <cacheHierarchy uniqueName="[misue].[المبيعات]" caption="المبيعات" attribute="1" defaultMemberUniqueName="[misue].[المبيعات].[All]" allUniqueName="[misue].[المبيعات].[All]" dimensionUniqueName="[misue]" displayFolder="" count="0" memberValueDatatype="5" unbalanced="0"/>
    <cacheHierarchy uniqueName="[misue].[طريقه الدفع]" caption="طريقه الدفع" attribute="1" defaultMemberUniqueName="[misue].[طريقه الدفع].[All]" allUniqueName="[misue].[طريقه الدفع].[All]" dimensionUniqueName="[misue]" displayFolder="" count="0" memberValueDatatype="130" unbalanced="0"/>
    <cacheHierarchy uniqueName="[misue].[ميعاد الطلب]" caption="ميعاد الطلب" attribute="1" time="1" defaultMemberUniqueName="[misue].[ميعاد الطلب].[All]" allUniqueName="[misue].[ميعاد الطلب].[All]" dimensionUniqueName="[misue]" displayFolder="" count="0" memberValueDatatype="7" unbalanced="0"/>
    <cacheHierarchy uniqueName="[misue].[ميعاد التسليم]" caption="ميعاد التسليم" attribute="1" defaultMemberUniqueName="[misue].[ميعاد التسليم].[All]" allUniqueName="[misue].[ميعاد التسليم].[All]" dimensionUniqueName="[misue]" displayFolder="" count="0" memberValueDatatype="130" unbalanced="0"/>
    <cacheHierarchy uniqueName="[misue].[تاريخ التسليم]" caption="تاريخ التسليم" attribute="1" time="1" defaultMemberUniqueName="[misue].[تاريخ التسليم].[All]" allUniqueName="[misue].[تاريخ التسليم].[All]" dimensionUniqueName="[misue]" displayFolder="" count="0" memberValueDatatype="7" unbalanced="0"/>
    <cacheHierarchy uniqueName="[misue].[المسئول عن التسليم]" caption="المسئول عن التسليم" attribute="1" defaultMemberUniqueName="[misue].[المسئول عن التسليم].[All]" allUniqueName="[misue].[المسئول عن التسليم].[All]" dimensionUniqueName="[misue]" displayFolder="" count="0" memberValueDatatype="130" unbalanced="0"/>
    <cacheHierarchy uniqueName="[misue].[الحالة]" caption="الحالة" attribute="1" defaultMemberUniqueName="[misue].[الحالة].[All]" allUniqueName="[misue].[الحالة].[All]" dimensionUniqueName="[misue]" displayFolder="" count="0" memberValueDatatype="130" unbalanced="0"/>
    <cacheHierarchy uniqueName="[misue].[في الموعد]" caption="في الموعد" attribute="1" defaultMemberUniqueName="[misue].[في الموعد].[All]" allUniqueName="[misue].[في الموعد].[All]" dimensionUniqueName="[misue]" displayFolder="" count="0" memberValueDatatype="130" unbalanced="0"/>
    <cacheHierarchy uniqueName="[misue].[تاريخ التسليم (Month)]" caption="تاريخ التسليم (Month)" attribute="1" defaultMemberUniqueName="[misue].[تاريخ التسليم (Month)].[All]" allUniqueName="[misue].[تاريخ التسليم (Month)].[All]" dimensionUniqueName="[misue]" displayFolder="" count="0" memberValueDatatype="130" unbalanced="0"/>
    <cacheHierarchy uniqueName="[misue].[ميعاد الطلب (Year)]" caption="ميعاد الطلب (Year)" attribute="1" defaultMemberUniqueName="[misue].[ميعاد الطلب (Year)].[All]" allUniqueName="[misue].[ميعاد الطلب (Year)].[All]" dimensionUniqueName="[misue]" displayFolder="" count="0" memberValueDatatype="130" unbalanced="0"/>
    <cacheHierarchy uniqueName="[misue].[ميعاد الطلب (Quarter)]" caption="ميعاد الطلب (Quarter)" attribute="1" defaultMemberUniqueName="[misue].[ميعاد الطلب (Quarter)].[All]" allUniqueName="[misue].[ميعاد الطلب (Quarter)].[All]" dimensionUniqueName="[misue]" displayFolder="" count="0" memberValueDatatype="130" unbalanced="0"/>
    <cacheHierarchy uniqueName="[misue].[ميعاد الطلب (Month)]" caption="ميعاد الطلب (Month)" attribute="1" defaultMemberUniqueName="[misue].[ميعاد الطلب (Month)].[All]" allUniqueName="[misue].[ميعاد الطلب (Month)].[All]" dimensionUniqueName="[misue]" displayFolder="" count="0" memberValueDatatype="130" unbalanced="0"/>
    <cacheHierarchy uniqueName="[misue].[تاريخ التسليم (Month Index)]" caption="تاريخ التسليم (Month Index)" attribute="1" defaultMemberUniqueName="[misue].[تاريخ التسليم (Month Index)].[All]" allUniqueName="[misue].[تاريخ التسليم (Month Index)].[All]" dimensionUniqueName="[misue]" displayFolder="" count="0" memberValueDatatype="20" unbalanced="0" hidden="1"/>
    <cacheHierarchy uniqueName="[misue].[ميعاد الطلب (Month Index)]" caption="ميعاد الطلب (Month Index)" attribute="1" defaultMemberUniqueName="[misue].[ميعاد الطلب (Month Index)].[All]" allUniqueName="[misue].[ميعاد الطلب (Month Index)].[All]" dimensionUniqueName="[misue]" displayFolder="" count="0" memberValueDatatype="20" unbalanced="0" hidden="1"/>
    <cacheHierarchy uniqueName="[Measures].[__XL_Count misue]" caption="__XL_Count misue" measure="1" displayFolder="" measureGroup="misue" count="0" hidden="1"/>
    <cacheHierarchy uniqueName="[Measures].[__No measures defined]" caption="__No measures defined" measure="1" displayFolder="" count="0" hidden="1"/>
    <cacheHierarchy uniqueName="[Measures].[Sum of المبيعات]" caption="Sum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Count of المبيعات]" caption="Count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Average of المبيعات]" caption="Average of المبيعات" measure="1" displayFolder="" measureGroup="misue" count="0" hidden="1">
      <extLst>
        <ext xmlns:x15="http://schemas.microsoft.com/office/spreadsheetml/2010/11/main" uri="{B97F6D7D-B522-45F9-BDA1-12C45D357490}">
          <x15:cacheHierarchy aggregatedColumn="7"/>
        </ext>
      </extLst>
    </cacheHierarchy>
    <cacheHierarchy uniqueName="[Measures].[Count of أسم العميل]" caption="Count of أسم العميل" measure="1" displayFolder="" measureGroup="misue" count="0" hidden="1">
      <extLst>
        <ext xmlns:x15="http://schemas.microsoft.com/office/spreadsheetml/2010/11/main" uri="{B97F6D7D-B522-45F9-BDA1-12C45D357490}">
          <x15:cacheHierarchy aggregatedColumn="0"/>
        </ext>
      </extLst>
    </cacheHierarchy>
    <cacheHierarchy uniqueName="[Measures].[Count of في الموعد]" caption="Count of في الموعد" measure="1" displayFolder="" measureGroup="misue"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336253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A2DBAE-4279-4BF4-965E-16BE74EF82EB}" name="PivotTable1"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المبيعات" fld="0" baseField="0" baseItem="0" numFmtId="166"/>
  </dataFields>
  <formats count="4">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s>
  <pivotHierarchies count="2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المبيعات"/>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SUO - MohamedAhmedAliEwida.xlsx!misue">
        <x15:activeTabTopLevelEntity name="[mis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DFBADF-1DCD-4B58-9DC6-B7FD49527DBC}" name="PivotTable8" cacheId="17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المنصات ">
  <location ref="AQ7:AR14"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6"/>
    </i>
    <i>
      <x v="2"/>
    </i>
    <i>
      <x v="1"/>
    </i>
    <i>
      <x/>
    </i>
    <i>
      <x v="3"/>
    </i>
    <i>
      <x v="5"/>
    </i>
    <i>
      <x v="4"/>
    </i>
  </rowItems>
  <colItems count="1">
    <i/>
  </colItems>
  <dataFields count="1">
    <dataField name="المبيعات" fld="1" baseField="0" baseItem="0" numFmtId="3"/>
  </dataFields>
  <chartFormats count="1">
    <chartFormat chart="14"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المبيعات"/>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SUO - MohamedAhmedAliEwida.xlsx!misue">
        <x15:activeTabTopLevelEntity name="[mis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383309-0587-4BF5-B852-0A80DB2EB20C}" name="PivotTable7" cacheId="1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AL5:AM12"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المبيعات" fld="1" baseField="0" baseItem="0" numFmtId="3"/>
  </dataFields>
  <chartFormats count="1">
    <chartFormat chart="3"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SUO - MohamedAhmedAliEwida.xlsx!misue">
        <x15:activeTabTopLevelEntity name="[mis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BF136B-DADF-488A-904F-D64E502D592E}" name="PivotTable4" cacheId="1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6:T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عدد العملاء" fld="0" subtotal="count" baseField="0" baseItem="0"/>
  </dataFields>
  <pivotHierarchies count="2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عدد العملاء"/>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SUO - MohamedAhmedAliEwida.xlsx!misue">
        <x15:activeTabTopLevelEntity name="[mis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87C507-B0C2-46B7-8113-874EDFE4EC65}" name="PivotTable3"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N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متوسط سعر البيع" fld="0" subtotal="average" baseField="0" baseItem="0" numFmtId="166"/>
  </dataFields>
  <formats count="1">
    <format dxfId="32">
      <pivotArea outline="0" collapsedLevelsAreSubtotals="1" fieldPosition="0"/>
    </format>
  </formats>
  <pivotHierarchies count="2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متوسط سعر البيع"/>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SUO - MohamedAhmedAliEwida.xlsx!misue">
        <x15:activeTabTopLevelEntity name="[mis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C9530C-9E14-4F91-840B-18918AFFB8B0}" name="PivotTable2" cacheId="15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H6:H81" firstHeaderRow="1" firstDataRow="1" firstDataCol="1"/>
  <pivotFields count="2">
    <pivotField axis="axisRow" allDrilled="1" subtotalTop="0" showAll="0" dataSourceSort="1" defaultSubtotal="0" defaultAttributeDrillState="1">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s>
    </pivotField>
    <pivotField allDrilled="1" subtotalTop="0" showAll="0" dataSourceSort="1" defaultSubtotal="0" defaultAttributeDrillState="1"/>
  </pivotFields>
  <rowFields count="1">
    <field x="0"/>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rowItems>
  <pivotHierarchies count="2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المبيعات"/>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SUO - MohamedAhmedAliEwida.xlsx!misue">
        <x15:activeTabTopLevelEntity name="[mis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C8D450-9942-4F6B-98D5-55D0D3EE399F}" name="PivotTable6" cacheId="1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حالة التسليم ">
  <location ref="AF6:AG1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عدد الطلبات" fld="1" subtotal="count" showDataAs="percentOfTotal" baseField="0" baseItem="0" numFmtId="9"/>
  </dataFields>
  <formats count="2">
    <format dxfId="34">
      <pivotArea collapsedLevelsAreSubtotals="1" fieldPosition="0">
        <references count="1">
          <reference field="0" count="1">
            <x v="0"/>
          </reference>
        </references>
      </pivotArea>
    </format>
    <format dxfId="33">
      <pivotArea outline="0" fieldPosition="0">
        <references count="1">
          <reference field="4294967294" count="1">
            <x v="0"/>
          </reference>
        </references>
      </pivotArea>
    </format>
  </formats>
  <chartFormats count="4">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0" count="1" selected="0">
            <x v="0"/>
          </reference>
        </references>
      </pivotArea>
    </chartFormat>
    <chartFormat chart="13" format="7">
      <pivotArea type="data" outline="0" fieldPosition="0">
        <references count="2">
          <reference field="4294967294" count="1" selected="0">
            <x v="0"/>
          </reference>
          <reference field="0" count="1" selected="0">
            <x v="1"/>
          </reference>
        </references>
      </pivotArea>
    </chartFormat>
    <chartFormat chart="13" format="8">
      <pivotArea type="data" outline="0" fieldPosition="0">
        <references count="2">
          <reference field="4294967294" count="1" selected="0">
            <x v="0"/>
          </reference>
          <reference field="0" count="1" selected="0">
            <x v="2"/>
          </reference>
        </references>
      </pivotArea>
    </chartFormat>
  </chartFormats>
  <pivotHierarchies count="2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عدد الطلبات"/>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SUO - MohamedAhmedAliEwida.xlsx!misue">
        <x15:activeTabTopLevelEntity name="[mis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5A88BC-16D9-44F8-A5D1-9FDE5F590BF3}" name="PivotTable5" cacheId="16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المنتجات ">
  <location ref="Z5:AA20" firstHeaderRow="1" firstDataRow="1" firstDataCol="1"/>
  <pivotFields count="3">
    <pivotField axis="axisRow"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5">
    <i>
      <x v="12"/>
    </i>
    <i>
      <x v="10"/>
    </i>
    <i>
      <x v="9"/>
    </i>
    <i>
      <x v="14"/>
    </i>
    <i>
      <x v="4"/>
    </i>
    <i>
      <x/>
    </i>
    <i>
      <x v="13"/>
    </i>
    <i>
      <x v="2"/>
    </i>
    <i>
      <x v="3"/>
    </i>
    <i>
      <x v="5"/>
    </i>
    <i>
      <x v="1"/>
    </i>
    <i>
      <x v="8"/>
    </i>
    <i>
      <x v="11"/>
    </i>
    <i>
      <x v="7"/>
    </i>
    <i>
      <x v="6"/>
    </i>
  </rowItems>
  <colItems count="1">
    <i/>
  </colItems>
  <dataFields count="1">
    <dataField name=" المبيعات" fld="1" baseField="0" baseItem="12" numFmtId="3"/>
  </dataFields>
  <chartFormats count="1">
    <chartFormat chart="17"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 المبيعات"/>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SUO - MohamedAhmedAliEwida.xlsx!misue">
        <x15:activeTabTopLevelEntity name="[misu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5FAAF1B-4337-429A-8615-C33A075698E2}" autoFormatId="16" applyNumberFormats="0" applyBorderFormats="0" applyFontFormats="0" applyPatternFormats="0" applyAlignmentFormats="0" applyWidthHeightFormats="0">
  <queryTableRefresh nextId="22">
    <queryTableFields count="15">
      <queryTableField id="1" name="أسم العميل" tableColumnId="1"/>
      <queryTableField id="2" name="المحافظه" tableColumnId="2"/>
      <queryTableField id="3" name="المدينه" tableColumnId="3"/>
      <queryTableField id="4" name="منصة البيع " tableColumnId="4"/>
      <queryTableField id="5" name="النوع" tableColumnId="5"/>
      <queryTableField id="6" name="اللون المعدن" tableColumnId="6"/>
      <queryTableField id="7" name="لون القماش" tableColumnId="7"/>
      <queryTableField id="15" name="المبيعات" tableColumnId="15"/>
      <queryTableField id="9" name="طريقه الدفع " tableColumnId="9"/>
      <queryTableField id="10" name="ميعاد الطلب" tableColumnId="10"/>
      <queryTableField id="11" name="ميعاد التسليم" tableColumnId="11"/>
      <queryTableField id="12" name="تاريخ التسليم" tableColumnId="12"/>
      <queryTableField id="13" name="المسئول عن التسليم" tableColumnId="13"/>
      <queryTableField id="14" name="الحالة" tableColumnId="14"/>
      <queryTableField id="17" name="في الموعد"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ه" xr10:uid="{846B0142-A982-45F7-AE57-0980F183049C}" sourceName="[misue].[المحافظه]">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8"/>
  </pivotTables>
  <data>
    <olap pivotCacheId="33625352">
      <levels count="2">
        <level uniqueName="[misue].[المحافظه].[(All)]" sourceCaption="(All)" count="0"/>
        <level uniqueName="[misue].[المحافظه].[المحافظه]" sourceCaption="المحافظه" count="7">
          <ranges>
            <range startItem="0">
              <i n="[misue].[المحافظه].&amp;[اسيوط]" c="اسيوط"/>
              <i n="[misue].[المحافظه].&amp;[الاسكنداريه]" c="الاسكنداريه"/>
              <i n="[misue].[المحافظه].&amp;[الجيزه]" c="الجيزه"/>
              <i n="[misue].[المحافظه].&amp;[السويس]" c="السويس"/>
              <i n="[misue].[المحافظه].&amp;[الغردقه]" c="الغردقه"/>
              <i n="[misue].[المحافظه].&amp;[القاهره]" c="القاهره"/>
              <i n="[misue].[المحافظه].&amp;[القليوبيه]" c="القليوبيه"/>
            </range>
          </ranges>
        </level>
      </levels>
      <selections count="1">
        <selection n="[misue].[المحافظه].[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حافظه" xr10:uid="{2F383AC6-16A8-4688-955D-6EA50B3C4C3D}" cache="Slicer_المحافظه" caption="المحافظه" level="1" style="Slicer Style 4"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968E5D-48D9-44CD-93A1-617381D04AA1}" name="Table1" displayName="Table1" ref="A1:U127" totalsRowShown="0" headerRowDxfId="74" dataDxfId="72" headerRowBorderDxfId="73" tableBorderDxfId="71">
  <autoFilter ref="A1:U127" xr:uid="{4A968E5D-48D9-44CD-93A1-617381D04AA1}"/>
  <tableColumns count="21">
    <tableColumn id="1" xr3:uid="{BF4DCAD9-2925-4D76-A83E-F8CEAB305288}" name="م" dataDxfId="70"/>
    <tableColumn id="2" xr3:uid="{B267058E-1DB2-4918-A02E-7FCCF9B44C1B}" name="رقم العملية"/>
    <tableColumn id="3" xr3:uid="{96DA2FAC-2046-488A-B574-8F19AB628D94}" name="رقم الطلب" dataDxfId="69"/>
    <tableColumn id="4" xr3:uid="{DC751E0F-0685-453B-9769-E5D067FA8206}" name="أسم العميل" dataDxfId="68"/>
    <tableColumn id="5" xr3:uid="{D7ED2A87-DB76-43C7-8705-CCD325AEB7F5}" name="العنوان" dataDxfId="67"/>
    <tableColumn id="6" xr3:uid="{1756CA7C-E1BB-48B7-8406-134EA1B3D34B}" name="رقم الموبيل" dataDxfId="66"/>
    <tableColumn id="7" xr3:uid="{95CDCF09-E8CC-4584-B05C-870A062613D0}" name="منصة البيع " dataDxfId="65"/>
    <tableColumn id="8" xr3:uid="{F164E750-D6B1-44F5-9D7E-87FA262D8360}" name="Column1" dataDxfId="64"/>
    <tableColumn id="9" xr3:uid="{098EC054-AC73-4518-85B3-6F82AE3CE204}" name="Column2" dataDxfId="63"/>
    <tableColumn id="10" xr3:uid="{A3C14095-F0E0-4730-A54C-D64F92B5F696}" name="الاسم" dataDxfId="62"/>
    <tableColumn id="11" xr3:uid="{A320A798-E1DE-40DB-9675-D418D840DDCA}" name="المقاس" dataDxfId="61"/>
    <tableColumn id="12" xr3:uid="{423A95D5-189A-4AB4-8440-09C4E76F080B}" name="اللون المعدن" dataDxfId="60"/>
    <tableColumn id="13" xr3:uid="{6BC4B544-FFA9-4F9A-B4B6-578FE12B7B7E}" name="لون القماش" dataDxfId="59"/>
    <tableColumn id="14" xr3:uid="{E11142C8-E4C3-4CFB-9588-B52A74129256}" name="المنتج" dataDxfId="58"/>
    <tableColumn id="15" xr3:uid="{C13A21D2-4888-4DC2-9FE9-B72DA8735008}" name="سعر البيع " dataDxfId="57"/>
    <tableColumn id="16" xr3:uid="{691B1E4D-1AB8-4F20-8BFB-8722252725C1}" name="طريقه الدفع " dataDxfId="56"/>
    <tableColumn id="17" xr3:uid="{7F7E987A-3FF7-469B-A269-FE5AD6C00D1C}" name="ميعاد الطلب" dataDxfId="55"/>
    <tableColumn id="18" xr3:uid="{626C923F-B8BE-4706-9D4D-9A2D27E28BB6}" name="ميعاد التسليم" dataDxfId="54"/>
    <tableColumn id="19" xr3:uid="{26C66103-24FB-4AA8-8500-987D84701E63}" name="تاريخ التسليم" dataDxfId="53"/>
    <tableColumn id="20" xr3:uid="{B50A1D4C-D477-42D7-A6CE-E132C2BC8A00}" name="المسئول عن التسليم" dataDxfId="52"/>
    <tableColumn id="21" xr3:uid="{CC051845-5EEC-448F-9ECD-0AFFE1E8E4AD}" name="الحالة" dataDxfId="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4384E4-2855-4B66-B560-15F7ABFCE19C}" name="Misue" displayName="Misue" ref="A1:O127" tableType="queryTable" totalsRowShown="0" headerRowDxfId="50" dataDxfId="49">
  <autoFilter ref="A1:O127" xr:uid="{B44384E4-2855-4B66-B560-15F7ABFCE19C}"/>
  <tableColumns count="15">
    <tableColumn id="1" xr3:uid="{ABEE0CBB-8AF9-4071-B9FD-83B1FC73334C}" uniqueName="1" name="أسم العميل" queryTableFieldId="1" dataDxfId="48"/>
    <tableColumn id="2" xr3:uid="{F0A25DDD-747B-4FE9-9F69-05BE0C17CB93}" uniqueName="2" name="المحافظه" queryTableFieldId="2" dataDxfId="47"/>
    <tableColumn id="3" xr3:uid="{1EA3C6E3-BDA9-4369-ADEE-E9A000279386}" uniqueName="3" name="المدينه" queryTableFieldId="3" dataDxfId="46"/>
    <tableColumn id="4" xr3:uid="{DAC928F4-39E4-4378-A49D-B86B7E820C36}" uniqueName="4" name="منصة البيع " queryTableFieldId="4" dataDxfId="45"/>
    <tableColumn id="5" xr3:uid="{58660D53-FF08-40AB-BE1A-805E7049BA38}" uniqueName="5" name="النوع" queryTableFieldId="5" dataDxfId="44"/>
    <tableColumn id="6" xr3:uid="{529EFA24-B3B2-4C48-B502-9D680578DC40}" uniqueName="6" name="اللون المعدن" queryTableFieldId="6" dataDxfId="43"/>
    <tableColumn id="7" xr3:uid="{C82CD698-FA8C-4516-88CA-6272D360B213}" uniqueName="7" name="لون القماش" queryTableFieldId="7" dataDxfId="42"/>
    <tableColumn id="15" xr3:uid="{0EE71D88-3946-47FC-B30A-4686ABCB11EF}" uniqueName="15" name="المبيعات" queryTableFieldId="15"/>
    <tableColumn id="9" xr3:uid="{0540F9D1-2291-46DF-BA10-397B550DBBC3}" uniqueName="9" name="طريقه الدفع " queryTableFieldId="9" dataDxfId="41"/>
    <tableColumn id="10" xr3:uid="{B50B4BC6-143B-4C75-8DC4-7534351D8671}" uniqueName="10" name="ميعاد الطلب" queryTableFieldId="10" dataDxfId="40"/>
    <tableColumn id="11" xr3:uid="{2EBA5B98-F20D-4661-A367-C29A31252F7E}" uniqueName="11" name="ميعاد التسليم" queryTableFieldId="11" dataDxfId="39"/>
    <tableColumn id="12" xr3:uid="{10BDC3F4-D5C5-46BA-A402-6285DD8D3623}" uniqueName="12" name="تاريخ التسليم" queryTableFieldId="12" dataDxfId="38"/>
    <tableColumn id="13" xr3:uid="{AC880F38-E190-42CD-BAE0-C4131C5803CC}" uniqueName="13" name="المسئول عن التسليم" queryTableFieldId="13" dataDxfId="37"/>
    <tableColumn id="14" xr3:uid="{2824999E-68B0-433D-B4C6-A2B47E3173E1}" uniqueName="14" name="الحالة" queryTableFieldId="14" dataDxfId="36"/>
    <tableColumn id="16" xr3:uid="{7EE96FAC-E3D0-4C03-A47A-B466BA15B505}" uniqueName="16" name="في الموعد" queryTableFieldId="17" dataDxfId="3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EE45-E9D7-4D2C-B86A-99E0DABE7FC2}">
  <sheetPr codeName="Sheet1"/>
  <dimension ref="A1:B16"/>
  <sheetViews>
    <sheetView showGridLines="0" rightToLeft="1" workbookViewId="0">
      <selection activeCell="M7" sqref="M7"/>
    </sheetView>
  </sheetViews>
  <sheetFormatPr defaultRowHeight="15" x14ac:dyDescent="0.25"/>
  <cols>
    <col min="2" max="2" width="41.85546875" customWidth="1"/>
  </cols>
  <sheetData>
    <row r="1" spans="1:2" x14ac:dyDescent="0.25">
      <c r="A1" s="75"/>
      <c r="B1" s="75"/>
    </row>
    <row r="2" spans="1:2" x14ac:dyDescent="0.25">
      <c r="A2" s="75"/>
      <c r="B2" s="75"/>
    </row>
    <row r="3" spans="1:2" s="73" customFormat="1" ht="25.5" x14ac:dyDescent="0.35">
      <c r="A3" s="73" t="s">
        <v>326</v>
      </c>
    </row>
    <row r="4" spans="1:2" s="74" customFormat="1" ht="18.75" x14ac:dyDescent="0.3">
      <c r="A4" s="77" t="s">
        <v>319</v>
      </c>
      <c r="B4" s="77"/>
    </row>
    <row r="5" spans="1:2" s="70" customFormat="1" x14ac:dyDescent="0.25">
      <c r="A5" s="78"/>
      <c r="B5" s="78"/>
    </row>
    <row r="6" spans="1:2" s="72" customFormat="1" ht="18.75" x14ac:dyDescent="0.3">
      <c r="A6" s="72" t="s">
        <v>325</v>
      </c>
    </row>
    <row r="7" spans="1:2" s="71" customFormat="1" ht="15.75" x14ac:dyDescent="0.25">
      <c r="A7" s="79" t="s">
        <v>320</v>
      </c>
      <c r="B7" s="76"/>
    </row>
    <row r="8" spans="1:2" s="71" customFormat="1" ht="15.75" x14ac:dyDescent="0.25">
      <c r="A8" s="76" t="s">
        <v>321</v>
      </c>
      <c r="B8" s="76"/>
    </row>
    <row r="9" spans="1:2" s="71" customFormat="1" ht="15.75" x14ac:dyDescent="0.25">
      <c r="A9" s="76" t="s">
        <v>322</v>
      </c>
      <c r="B9" s="76"/>
    </row>
    <row r="10" spans="1:2" s="71" customFormat="1" ht="15.75" x14ac:dyDescent="0.25">
      <c r="A10" s="76" t="s">
        <v>323</v>
      </c>
      <c r="B10" s="76"/>
    </row>
    <row r="11" spans="1:2" s="76" customFormat="1" ht="15.75" x14ac:dyDescent="0.25">
      <c r="A11" s="76" t="s">
        <v>327</v>
      </c>
    </row>
    <row r="12" spans="1:2" s="71" customFormat="1" ht="15.75" x14ac:dyDescent="0.25">
      <c r="A12" s="76" t="s">
        <v>328</v>
      </c>
      <c r="B12" s="76"/>
    </row>
    <row r="13" spans="1:2" s="71" customFormat="1" ht="15.75" x14ac:dyDescent="0.25">
      <c r="A13" s="76" t="s">
        <v>324</v>
      </c>
      <c r="B13" s="76"/>
    </row>
    <row r="14" spans="1:2" s="71" customFormat="1" ht="15.75" x14ac:dyDescent="0.25">
      <c r="A14" s="76" t="s">
        <v>331</v>
      </c>
      <c r="B14" s="76"/>
    </row>
    <row r="15" spans="1:2" s="71" customFormat="1" ht="15.75" x14ac:dyDescent="0.25">
      <c r="A15" s="76" t="s">
        <v>329</v>
      </c>
      <c r="B15" s="76"/>
    </row>
    <row r="16" spans="1:2" ht="15.75" x14ac:dyDescent="0.25">
      <c r="A16" s="76" t="s">
        <v>330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U1040"/>
  <sheetViews>
    <sheetView rightToLeft="1" topLeftCell="I74" zoomScale="70" zoomScaleNormal="70" workbookViewId="0">
      <selection activeCell="T118" sqref="T118"/>
    </sheetView>
  </sheetViews>
  <sheetFormatPr defaultColWidth="33.28515625" defaultRowHeight="15" x14ac:dyDescent="0.25"/>
  <cols>
    <col min="1" max="9" width="33.28515625" style="1"/>
    <col min="10" max="10" width="33.28515625" style="93"/>
    <col min="11" max="11" width="33.28515625" style="1"/>
    <col min="12" max="12" width="33.28515625" style="93" customWidth="1"/>
    <col min="13" max="13" width="16.7109375" style="1" bestFit="1" customWidth="1"/>
    <col min="14" max="14" width="63.28515625" style="1" customWidth="1"/>
    <col min="15" max="15" width="33.28515625" style="1"/>
    <col min="16" max="16" width="33.28515625" style="4"/>
    <col min="17" max="20" width="33.28515625" style="1"/>
    <col min="22" max="16384" width="33.28515625" style="1"/>
  </cols>
  <sheetData>
    <row r="1" spans="1:21" ht="20.100000000000001" customHeight="1" x14ac:dyDescent="0.25">
      <c r="A1" s="87" t="s">
        <v>5</v>
      </c>
      <c r="B1" s="88" t="s">
        <v>181</v>
      </c>
      <c r="C1" s="88" t="s">
        <v>182</v>
      </c>
      <c r="D1" s="88" t="s">
        <v>0</v>
      </c>
      <c r="E1" s="88" t="s">
        <v>1</v>
      </c>
      <c r="F1" s="88" t="s">
        <v>6</v>
      </c>
      <c r="G1" s="88" t="s">
        <v>7</v>
      </c>
      <c r="H1" s="88" t="s">
        <v>332</v>
      </c>
      <c r="I1" s="88" t="s">
        <v>333</v>
      </c>
      <c r="J1" s="88" t="s">
        <v>174</v>
      </c>
      <c r="K1" s="88" t="s">
        <v>175</v>
      </c>
      <c r="L1" s="88" t="s">
        <v>179</v>
      </c>
      <c r="M1" s="88" t="s">
        <v>180</v>
      </c>
      <c r="N1" s="89" t="s">
        <v>2</v>
      </c>
      <c r="O1" s="88" t="s">
        <v>9</v>
      </c>
      <c r="P1" s="90" t="s">
        <v>10</v>
      </c>
      <c r="Q1" s="88" t="s">
        <v>12</v>
      </c>
      <c r="R1" s="88" t="s">
        <v>11</v>
      </c>
      <c r="S1" s="88" t="s">
        <v>3</v>
      </c>
      <c r="T1" s="88" t="s">
        <v>4</v>
      </c>
      <c r="U1" s="91" t="s">
        <v>190</v>
      </c>
    </row>
    <row r="2" spans="1:21" ht="20.100000000000001" customHeight="1" x14ac:dyDescent="0.25">
      <c r="A2" s="80">
        <v>1</v>
      </c>
      <c r="B2" s="20"/>
      <c r="C2" s="20"/>
      <c r="D2" s="20" t="s">
        <v>13</v>
      </c>
      <c r="E2" s="20" t="s">
        <v>14</v>
      </c>
      <c r="F2" s="20"/>
      <c r="G2" s="20" t="s">
        <v>8</v>
      </c>
      <c r="H2" s="20" t="s">
        <v>150</v>
      </c>
      <c r="I2" s="20" t="s">
        <v>151</v>
      </c>
      <c r="J2" s="20"/>
      <c r="K2" s="20"/>
      <c r="L2" s="20" t="s">
        <v>167</v>
      </c>
      <c r="M2" s="20" t="s">
        <v>167</v>
      </c>
      <c r="N2" s="21" t="s">
        <v>15</v>
      </c>
      <c r="O2" s="20">
        <v>10160</v>
      </c>
      <c r="P2" s="22" t="s">
        <v>16</v>
      </c>
      <c r="Q2" s="20" t="s">
        <v>17</v>
      </c>
      <c r="R2" s="20" t="s">
        <v>18</v>
      </c>
      <c r="S2" s="23">
        <v>45514</v>
      </c>
      <c r="T2" s="20" t="s">
        <v>28</v>
      </c>
      <c r="U2" s="20" t="s">
        <v>191</v>
      </c>
    </row>
    <row r="3" spans="1:21" ht="20.100000000000001" customHeight="1" x14ac:dyDescent="0.25">
      <c r="A3" s="32">
        <v>2</v>
      </c>
      <c r="B3" s="21"/>
      <c r="C3" s="21"/>
      <c r="D3" s="21" t="s">
        <v>18</v>
      </c>
      <c r="E3" s="21" t="s">
        <v>19</v>
      </c>
      <c r="F3" s="21"/>
      <c r="G3" s="21" t="s">
        <v>8</v>
      </c>
      <c r="H3" s="21" t="s">
        <v>150</v>
      </c>
      <c r="I3" s="21" t="s">
        <v>151</v>
      </c>
      <c r="J3" s="21"/>
      <c r="K3" s="21"/>
      <c r="L3" s="21" t="s">
        <v>168</v>
      </c>
      <c r="M3" s="21" t="s">
        <v>168</v>
      </c>
      <c r="N3" s="21" t="s">
        <v>20</v>
      </c>
      <c r="O3" s="21">
        <v>10160</v>
      </c>
      <c r="P3" s="24">
        <v>9749</v>
      </c>
      <c r="Q3" s="21" t="s">
        <v>21</v>
      </c>
      <c r="R3" s="21" t="s">
        <v>18</v>
      </c>
      <c r="S3" s="25">
        <v>45515</v>
      </c>
      <c r="T3" s="21" t="s">
        <v>28</v>
      </c>
      <c r="U3" s="21" t="s">
        <v>191</v>
      </c>
    </row>
    <row r="4" spans="1:21" ht="20.100000000000001" customHeight="1" x14ac:dyDescent="0.25">
      <c r="A4" s="38">
        <v>3</v>
      </c>
      <c r="B4" s="10"/>
      <c r="C4" s="10"/>
      <c r="D4" s="10" t="s">
        <v>22</v>
      </c>
      <c r="E4" s="10" t="s">
        <v>23</v>
      </c>
      <c r="F4" s="10"/>
      <c r="G4" s="10" t="s">
        <v>8</v>
      </c>
      <c r="H4" s="10" t="s">
        <v>150</v>
      </c>
      <c r="I4" s="10" t="s">
        <v>165</v>
      </c>
      <c r="J4" s="11" t="s">
        <v>155</v>
      </c>
      <c r="K4" s="10">
        <v>90</v>
      </c>
      <c r="L4" s="10" t="s">
        <v>170</v>
      </c>
      <c r="M4" s="10"/>
      <c r="N4" s="10" t="s">
        <v>24</v>
      </c>
      <c r="O4" s="10">
        <v>11455</v>
      </c>
      <c r="P4" s="12">
        <v>10067.68</v>
      </c>
      <c r="Q4" s="10" t="s">
        <v>17</v>
      </c>
      <c r="R4" s="10" t="s">
        <v>26</v>
      </c>
      <c r="S4" s="10"/>
      <c r="T4" s="10" t="s">
        <v>37</v>
      </c>
      <c r="U4" s="10" t="s">
        <v>192</v>
      </c>
    </row>
    <row r="5" spans="1:21" ht="20.100000000000001" customHeight="1" x14ac:dyDescent="0.25">
      <c r="A5" s="32">
        <v>4</v>
      </c>
      <c r="B5" s="21"/>
      <c r="C5" s="21"/>
      <c r="D5" s="21" t="s">
        <v>25</v>
      </c>
      <c r="E5" s="21" t="s">
        <v>26</v>
      </c>
      <c r="F5" s="21"/>
      <c r="G5" s="21" t="s">
        <v>8</v>
      </c>
      <c r="H5" s="21" t="s">
        <v>157</v>
      </c>
      <c r="I5" s="21"/>
      <c r="J5" s="21"/>
      <c r="K5" s="21"/>
      <c r="L5" s="21" t="s">
        <v>168</v>
      </c>
      <c r="M5" s="21" t="s">
        <v>218</v>
      </c>
      <c r="N5" s="21" t="s">
        <v>27</v>
      </c>
      <c r="O5" s="21">
        <v>8642</v>
      </c>
      <c r="P5" s="24" t="s">
        <v>16</v>
      </c>
      <c r="Q5" s="26">
        <v>45529</v>
      </c>
      <c r="R5" s="26">
        <v>45542</v>
      </c>
      <c r="S5" s="26">
        <v>45531</v>
      </c>
      <c r="T5" s="21" t="s">
        <v>28</v>
      </c>
      <c r="U5" s="21" t="s">
        <v>191</v>
      </c>
    </row>
    <row r="6" spans="1:21" ht="20.100000000000001" customHeight="1" x14ac:dyDescent="0.25">
      <c r="A6" s="38">
        <v>5</v>
      </c>
      <c r="B6" s="10"/>
      <c r="C6" s="10"/>
      <c r="D6" s="10" t="s">
        <v>29</v>
      </c>
      <c r="E6" s="10" t="s">
        <v>23</v>
      </c>
      <c r="F6" s="10"/>
      <c r="G6" s="10" t="s">
        <v>8</v>
      </c>
      <c r="H6" s="10" t="s">
        <v>150</v>
      </c>
      <c r="I6" s="10" t="s">
        <v>165</v>
      </c>
      <c r="J6" s="10" t="s">
        <v>152</v>
      </c>
      <c r="K6" s="10">
        <v>100</v>
      </c>
      <c r="L6" s="10" t="s">
        <v>172</v>
      </c>
      <c r="M6" s="10"/>
      <c r="N6" s="10" t="s">
        <v>30</v>
      </c>
      <c r="O6" s="10">
        <v>12833</v>
      </c>
      <c r="P6" s="12">
        <v>12974.22</v>
      </c>
      <c r="Q6" s="27">
        <v>45520</v>
      </c>
      <c r="R6" s="27">
        <v>45535</v>
      </c>
      <c r="S6" s="27"/>
      <c r="T6" s="10" t="s">
        <v>37</v>
      </c>
      <c r="U6" s="10" t="s">
        <v>192</v>
      </c>
    </row>
    <row r="7" spans="1:21" ht="20.100000000000001" customHeight="1" x14ac:dyDescent="0.25">
      <c r="A7" s="32">
        <v>6</v>
      </c>
      <c r="B7" s="21"/>
      <c r="C7" s="21"/>
      <c r="D7" s="21" t="s">
        <v>31</v>
      </c>
      <c r="E7" s="21"/>
      <c r="F7" s="21"/>
      <c r="G7" s="21" t="s">
        <v>31</v>
      </c>
      <c r="H7" s="21" t="s">
        <v>166</v>
      </c>
      <c r="I7" s="21" t="s">
        <v>164</v>
      </c>
      <c r="J7" s="28"/>
      <c r="K7" s="21"/>
      <c r="L7" s="21" t="s">
        <v>334</v>
      </c>
      <c r="M7" s="21" t="s">
        <v>334</v>
      </c>
      <c r="N7" s="21" t="s">
        <v>32</v>
      </c>
      <c r="O7" s="21">
        <v>14550</v>
      </c>
      <c r="P7" s="24" t="s">
        <v>16</v>
      </c>
      <c r="Q7" s="26">
        <v>45518</v>
      </c>
      <c r="R7" s="26">
        <v>45538</v>
      </c>
      <c r="S7" s="26">
        <v>45540</v>
      </c>
      <c r="T7" s="21" t="s">
        <v>28</v>
      </c>
      <c r="U7" s="21" t="s">
        <v>191</v>
      </c>
    </row>
    <row r="8" spans="1:21" ht="20.100000000000001" customHeight="1" x14ac:dyDescent="0.25">
      <c r="A8" s="32">
        <v>7</v>
      </c>
      <c r="B8" s="21"/>
      <c r="C8" s="21"/>
      <c r="D8" s="21" t="s">
        <v>33</v>
      </c>
      <c r="E8" s="21" t="s">
        <v>34</v>
      </c>
      <c r="F8" s="21"/>
      <c r="G8" s="21" t="s">
        <v>35</v>
      </c>
      <c r="H8" s="21" t="s">
        <v>166</v>
      </c>
      <c r="I8" s="21" t="s">
        <v>164</v>
      </c>
      <c r="J8" s="28"/>
      <c r="K8" s="21"/>
      <c r="L8" s="21" t="s">
        <v>334</v>
      </c>
      <c r="M8" s="21" t="s">
        <v>334</v>
      </c>
      <c r="N8" s="21" t="s">
        <v>32</v>
      </c>
      <c r="O8" s="21">
        <v>12000</v>
      </c>
      <c r="P8" s="24">
        <v>12000</v>
      </c>
      <c r="Q8" s="26">
        <v>45521</v>
      </c>
      <c r="R8" s="26">
        <v>45524</v>
      </c>
      <c r="S8" s="26">
        <v>45523</v>
      </c>
      <c r="T8" s="21" t="s">
        <v>36</v>
      </c>
      <c r="U8" s="21" t="s">
        <v>191</v>
      </c>
    </row>
    <row r="9" spans="1:21" ht="20.100000000000001" customHeight="1" x14ac:dyDescent="0.25">
      <c r="A9" s="32">
        <v>8</v>
      </c>
      <c r="B9" s="21"/>
      <c r="C9" s="21"/>
      <c r="D9" s="21" t="s">
        <v>38</v>
      </c>
      <c r="E9" s="21" t="s">
        <v>39</v>
      </c>
      <c r="F9" s="21"/>
      <c r="G9" s="21" t="s">
        <v>8</v>
      </c>
      <c r="H9" s="21" t="s">
        <v>150</v>
      </c>
      <c r="I9" s="21" t="s">
        <v>153</v>
      </c>
      <c r="J9" s="21"/>
      <c r="K9" s="21"/>
      <c r="L9" s="21" t="s">
        <v>167</v>
      </c>
      <c r="M9" s="21" t="s">
        <v>168</v>
      </c>
      <c r="N9" s="21" t="s">
        <v>40</v>
      </c>
      <c r="O9" s="21">
        <v>7228</v>
      </c>
      <c r="P9" s="24" t="s">
        <v>16</v>
      </c>
      <c r="Q9" s="26">
        <v>45529</v>
      </c>
      <c r="R9" s="26">
        <v>45538</v>
      </c>
      <c r="S9" s="26">
        <v>45545</v>
      </c>
      <c r="T9" s="21" t="s">
        <v>28</v>
      </c>
      <c r="U9" s="21" t="s">
        <v>191</v>
      </c>
    </row>
    <row r="10" spans="1:21" ht="20.100000000000001" customHeight="1" x14ac:dyDescent="0.25">
      <c r="A10" s="32">
        <v>9</v>
      </c>
      <c r="B10" s="21"/>
      <c r="C10" s="21"/>
      <c r="D10" s="21" t="s">
        <v>41</v>
      </c>
      <c r="E10" s="21" t="s">
        <v>42</v>
      </c>
      <c r="F10" s="21"/>
      <c r="G10" s="21" t="s">
        <v>43</v>
      </c>
      <c r="H10" s="21" t="s">
        <v>158</v>
      </c>
      <c r="I10" s="21" t="s">
        <v>160</v>
      </c>
      <c r="J10" s="21"/>
      <c r="K10" s="21"/>
      <c r="L10" s="21" t="s">
        <v>168</v>
      </c>
      <c r="M10" s="21" t="s">
        <v>336</v>
      </c>
      <c r="N10" s="21" t="s">
        <v>44</v>
      </c>
      <c r="O10" s="21">
        <v>22000</v>
      </c>
      <c r="P10" s="24">
        <v>22000</v>
      </c>
      <c r="Q10" s="26">
        <v>45523</v>
      </c>
      <c r="R10" s="26">
        <v>45536</v>
      </c>
      <c r="S10" s="30">
        <v>45552</v>
      </c>
      <c r="T10" s="21"/>
      <c r="U10" s="21" t="s">
        <v>191</v>
      </c>
    </row>
    <row r="11" spans="1:21" ht="20.100000000000001" customHeight="1" x14ac:dyDescent="0.25">
      <c r="A11" s="15">
        <v>10</v>
      </c>
      <c r="B11" s="7"/>
      <c r="C11" s="7"/>
      <c r="D11" s="7" t="s">
        <v>41</v>
      </c>
      <c r="E11" s="7" t="s">
        <v>42</v>
      </c>
      <c r="F11" s="7"/>
      <c r="G11" s="7" t="s">
        <v>41</v>
      </c>
      <c r="H11" s="7" t="s">
        <v>161</v>
      </c>
      <c r="I11" s="7" t="s">
        <v>159</v>
      </c>
      <c r="J11" s="8"/>
      <c r="K11" s="7"/>
      <c r="L11" s="7" t="s">
        <v>168</v>
      </c>
      <c r="M11" s="7" t="s">
        <v>334</v>
      </c>
      <c r="N11" s="7" t="s">
        <v>45</v>
      </c>
      <c r="O11" s="7">
        <v>16000</v>
      </c>
      <c r="P11" s="9">
        <v>16000</v>
      </c>
      <c r="Q11" s="13"/>
      <c r="R11" s="13"/>
      <c r="S11" s="13"/>
      <c r="T11" s="7" t="s">
        <v>109</v>
      </c>
      <c r="U11" s="7" t="s">
        <v>193</v>
      </c>
    </row>
    <row r="12" spans="1:21" ht="20.100000000000001" customHeight="1" x14ac:dyDescent="0.25">
      <c r="A12" s="32">
        <v>11</v>
      </c>
      <c r="B12" s="21"/>
      <c r="C12" s="21"/>
      <c r="D12" s="21" t="s">
        <v>41</v>
      </c>
      <c r="E12" s="21" t="s">
        <v>46</v>
      </c>
      <c r="F12" s="21"/>
      <c r="G12" s="21" t="s">
        <v>43</v>
      </c>
      <c r="H12" s="21" t="s">
        <v>161</v>
      </c>
      <c r="I12" s="21" t="s">
        <v>159</v>
      </c>
      <c r="J12" s="28"/>
      <c r="K12" s="21"/>
      <c r="L12" s="21" t="s">
        <v>168</v>
      </c>
      <c r="M12" s="21" t="s">
        <v>334</v>
      </c>
      <c r="N12" s="21" t="s">
        <v>47</v>
      </c>
      <c r="O12" s="21">
        <v>6000</v>
      </c>
      <c r="P12" s="24">
        <v>12000</v>
      </c>
      <c r="Q12" s="26">
        <v>45529</v>
      </c>
      <c r="R12" s="26">
        <v>45550</v>
      </c>
      <c r="S12" s="30">
        <v>45552</v>
      </c>
      <c r="T12" s="28" t="s">
        <v>199</v>
      </c>
      <c r="U12" s="21" t="s">
        <v>191</v>
      </c>
    </row>
    <row r="13" spans="1:21" ht="20.100000000000001" customHeight="1" x14ac:dyDescent="0.25">
      <c r="A13" s="32">
        <v>12</v>
      </c>
      <c r="B13" s="21"/>
      <c r="C13" s="21"/>
      <c r="D13" s="21" t="s">
        <v>41</v>
      </c>
      <c r="E13" s="21" t="s">
        <v>46</v>
      </c>
      <c r="F13" s="21"/>
      <c r="G13" s="21" t="s">
        <v>43</v>
      </c>
      <c r="H13" s="21" t="s">
        <v>161</v>
      </c>
      <c r="I13" s="21" t="s">
        <v>159</v>
      </c>
      <c r="J13" s="28"/>
      <c r="K13" s="21"/>
      <c r="L13" s="21" t="s">
        <v>168</v>
      </c>
      <c r="M13" s="21" t="s">
        <v>334</v>
      </c>
      <c r="N13" s="21" t="s">
        <v>47</v>
      </c>
      <c r="O13" s="21">
        <v>6000</v>
      </c>
      <c r="P13" s="24">
        <v>12000</v>
      </c>
      <c r="Q13" s="26">
        <v>45529</v>
      </c>
      <c r="R13" s="26">
        <v>45550</v>
      </c>
      <c r="S13" s="30">
        <v>45552</v>
      </c>
      <c r="T13" s="28" t="s">
        <v>199</v>
      </c>
      <c r="U13" s="21" t="s">
        <v>191</v>
      </c>
    </row>
    <row r="14" spans="1:21" ht="20.100000000000001" customHeight="1" x14ac:dyDescent="0.25">
      <c r="A14" s="32">
        <v>13</v>
      </c>
      <c r="B14" s="21"/>
      <c r="C14" s="21"/>
      <c r="D14" s="21" t="s">
        <v>48</v>
      </c>
      <c r="E14" s="21" t="s">
        <v>49</v>
      </c>
      <c r="F14" s="21"/>
      <c r="G14" s="21" t="s">
        <v>8</v>
      </c>
      <c r="H14" s="21" t="s">
        <v>150</v>
      </c>
      <c r="I14" s="21" t="s">
        <v>165</v>
      </c>
      <c r="J14" s="21" t="s">
        <v>152</v>
      </c>
      <c r="K14" s="21">
        <v>80</v>
      </c>
      <c r="L14" s="21" t="s">
        <v>167</v>
      </c>
      <c r="M14" s="21"/>
      <c r="N14" s="21" t="s">
        <v>50</v>
      </c>
      <c r="O14" s="21">
        <v>10499</v>
      </c>
      <c r="P14" s="24">
        <v>8924</v>
      </c>
      <c r="Q14" s="26">
        <v>45536</v>
      </c>
      <c r="R14" s="26">
        <v>45551</v>
      </c>
      <c r="S14" s="26">
        <v>45543</v>
      </c>
      <c r="T14" s="21" t="s">
        <v>28</v>
      </c>
      <c r="U14" s="21" t="s">
        <v>191</v>
      </c>
    </row>
    <row r="15" spans="1:21" ht="20.100000000000001" customHeight="1" x14ac:dyDescent="0.2">
      <c r="A15" s="81">
        <v>14</v>
      </c>
      <c r="B15" s="14">
        <v>1404561</v>
      </c>
      <c r="C15" s="14">
        <v>1199284</v>
      </c>
      <c r="D15" s="8" t="s">
        <v>65</v>
      </c>
      <c r="E15" s="8" t="s">
        <v>39</v>
      </c>
      <c r="F15" s="8"/>
      <c r="G15" s="8" t="s">
        <v>8</v>
      </c>
      <c r="H15" s="8" t="s">
        <v>150</v>
      </c>
      <c r="I15" s="8" t="s">
        <v>153</v>
      </c>
      <c r="J15" s="8" t="s">
        <v>152</v>
      </c>
      <c r="K15" s="8">
        <v>80</v>
      </c>
      <c r="L15" s="8" t="s">
        <v>167</v>
      </c>
      <c r="M15" s="21" t="s">
        <v>168</v>
      </c>
      <c r="N15" s="15" t="s">
        <v>66</v>
      </c>
      <c r="O15" s="8">
        <v>7295</v>
      </c>
      <c r="P15" s="16">
        <v>5895</v>
      </c>
      <c r="Q15" s="17">
        <v>45540</v>
      </c>
      <c r="R15" s="17">
        <v>45549</v>
      </c>
      <c r="S15" s="17"/>
      <c r="T15" s="8" t="s">
        <v>337</v>
      </c>
      <c r="U15" s="8" t="s">
        <v>193</v>
      </c>
    </row>
    <row r="16" spans="1:21" ht="20.100000000000001" customHeight="1" x14ac:dyDescent="0.2">
      <c r="A16" s="82">
        <v>15</v>
      </c>
      <c r="B16" s="37">
        <v>1401137</v>
      </c>
      <c r="C16" s="37">
        <v>1197500</v>
      </c>
      <c r="D16" s="11" t="s">
        <v>61</v>
      </c>
      <c r="E16" s="11" t="s">
        <v>62</v>
      </c>
      <c r="F16" s="11"/>
      <c r="G16" s="11" t="s">
        <v>8</v>
      </c>
      <c r="H16" s="11" t="s">
        <v>157</v>
      </c>
      <c r="I16" s="11" t="s">
        <v>187</v>
      </c>
      <c r="J16" s="11"/>
      <c r="K16" s="11"/>
      <c r="L16" s="21" t="s">
        <v>168</v>
      </c>
      <c r="M16" s="11" t="s">
        <v>218</v>
      </c>
      <c r="N16" s="38" t="s">
        <v>63</v>
      </c>
      <c r="O16" s="11">
        <v>7849</v>
      </c>
      <c r="P16" s="39" t="s">
        <v>16</v>
      </c>
      <c r="Q16" s="40">
        <v>45539</v>
      </c>
      <c r="R16" s="40">
        <v>45551</v>
      </c>
      <c r="S16" s="40">
        <v>45560</v>
      </c>
      <c r="T16" s="11" t="s">
        <v>28</v>
      </c>
      <c r="U16" s="11" t="s">
        <v>208</v>
      </c>
    </row>
    <row r="17" spans="1:21" ht="20.100000000000001" customHeight="1" x14ac:dyDescent="0.25">
      <c r="A17" s="80">
        <v>16</v>
      </c>
      <c r="B17" s="20"/>
      <c r="C17" s="20"/>
      <c r="D17" s="20" t="s">
        <v>54</v>
      </c>
      <c r="E17" s="20" t="s">
        <v>55</v>
      </c>
      <c r="F17" s="20"/>
      <c r="G17" s="20" t="s">
        <v>56</v>
      </c>
      <c r="H17" s="29" t="s">
        <v>150</v>
      </c>
      <c r="I17" s="20" t="s">
        <v>165</v>
      </c>
      <c r="J17" s="21" t="s">
        <v>155</v>
      </c>
      <c r="K17" s="21">
        <v>120</v>
      </c>
      <c r="L17" s="21" t="s">
        <v>168</v>
      </c>
      <c r="M17" s="21"/>
      <c r="N17" s="21" t="s">
        <v>57</v>
      </c>
      <c r="O17" s="21">
        <v>6180</v>
      </c>
      <c r="P17" s="22">
        <v>9700</v>
      </c>
      <c r="Q17" s="30">
        <v>45538</v>
      </c>
      <c r="R17" s="30">
        <v>45551</v>
      </c>
      <c r="S17" s="30">
        <v>45550</v>
      </c>
      <c r="T17" s="28" t="s">
        <v>199</v>
      </c>
      <c r="U17" s="20" t="s">
        <v>191</v>
      </c>
    </row>
    <row r="18" spans="1:21" ht="20.100000000000001" customHeight="1" x14ac:dyDescent="0.25">
      <c r="A18" s="32">
        <v>17</v>
      </c>
      <c r="B18" s="29"/>
      <c r="C18" s="29"/>
      <c r="D18" s="21" t="s">
        <v>54</v>
      </c>
      <c r="E18" s="21" t="s">
        <v>55</v>
      </c>
      <c r="F18" s="21"/>
      <c r="G18" s="21" t="s">
        <v>56</v>
      </c>
      <c r="H18" s="29" t="s">
        <v>150</v>
      </c>
      <c r="I18" s="21" t="s">
        <v>165</v>
      </c>
      <c r="J18" s="28" t="s">
        <v>155</v>
      </c>
      <c r="K18" s="21">
        <v>120</v>
      </c>
      <c r="L18" s="21" t="s">
        <v>168</v>
      </c>
      <c r="M18" s="21"/>
      <c r="N18" s="21" t="s">
        <v>57</v>
      </c>
      <c r="O18" s="21">
        <v>6180</v>
      </c>
      <c r="P18" s="24">
        <v>9700</v>
      </c>
      <c r="Q18" s="26">
        <v>45538</v>
      </c>
      <c r="R18" s="26">
        <v>45551</v>
      </c>
      <c r="S18" s="30">
        <v>45550</v>
      </c>
      <c r="T18" s="28" t="s">
        <v>199</v>
      </c>
      <c r="U18" s="21" t="s">
        <v>191</v>
      </c>
    </row>
    <row r="19" spans="1:21" ht="20.100000000000001" customHeight="1" x14ac:dyDescent="0.2">
      <c r="A19" s="15">
        <v>18</v>
      </c>
      <c r="B19" s="18">
        <v>1400149</v>
      </c>
      <c r="C19" s="18">
        <v>1196947</v>
      </c>
      <c r="D19" s="7" t="s">
        <v>58</v>
      </c>
      <c r="E19" s="7" t="s">
        <v>59</v>
      </c>
      <c r="F19" s="7"/>
      <c r="G19" s="7" t="s">
        <v>8</v>
      </c>
      <c r="H19" s="7" t="s">
        <v>150</v>
      </c>
      <c r="I19" s="7" t="s">
        <v>165</v>
      </c>
      <c r="J19" s="7" t="s">
        <v>154</v>
      </c>
      <c r="K19" s="7">
        <v>80</v>
      </c>
      <c r="L19" s="7" t="s">
        <v>167</v>
      </c>
      <c r="M19" s="7"/>
      <c r="N19" s="7" t="s">
        <v>60</v>
      </c>
      <c r="O19" s="7">
        <v>11199</v>
      </c>
      <c r="P19" s="9">
        <v>11310</v>
      </c>
      <c r="Q19" s="13">
        <v>45539</v>
      </c>
      <c r="R19" s="13">
        <v>45553</v>
      </c>
      <c r="S19" s="13"/>
      <c r="T19" s="7" t="s">
        <v>337</v>
      </c>
      <c r="U19" s="7" t="s">
        <v>193</v>
      </c>
    </row>
    <row r="20" spans="1:21" ht="20.100000000000001" customHeight="1" x14ac:dyDescent="0.2">
      <c r="A20" s="83">
        <v>19</v>
      </c>
      <c r="B20" s="31">
        <v>1408099</v>
      </c>
      <c r="C20" s="31">
        <v>1201057</v>
      </c>
      <c r="D20" s="28" t="s">
        <v>33</v>
      </c>
      <c r="E20" s="28" t="s">
        <v>67</v>
      </c>
      <c r="F20" s="28"/>
      <c r="G20" s="28" t="s">
        <v>8</v>
      </c>
      <c r="H20" s="28" t="s">
        <v>150</v>
      </c>
      <c r="I20" s="28" t="s">
        <v>153</v>
      </c>
      <c r="J20" s="28" t="s">
        <v>177</v>
      </c>
      <c r="K20" s="28">
        <v>80</v>
      </c>
      <c r="L20" s="28" t="s">
        <v>167</v>
      </c>
      <c r="M20" s="21" t="s">
        <v>168</v>
      </c>
      <c r="N20" s="32" t="s">
        <v>68</v>
      </c>
      <c r="O20" s="28">
        <v>7987</v>
      </c>
      <c r="P20" s="33" t="s">
        <v>16</v>
      </c>
      <c r="Q20" s="34">
        <v>45541</v>
      </c>
      <c r="R20" s="34">
        <v>45551</v>
      </c>
      <c r="S20" s="34">
        <v>45556</v>
      </c>
      <c r="T20" s="28" t="s">
        <v>199</v>
      </c>
      <c r="U20" s="28" t="s">
        <v>198</v>
      </c>
    </row>
    <row r="21" spans="1:21" ht="20.100000000000001" customHeight="1" x14ac:dyDescent="0.25">
      <c r="A21" s="80">
        <v>20</v>
      </c>
      <c r="B21" s="20"/>
      <c r="C21" s="20"/>
      <c r="D21" s="20" t="s">
        <v>43</v>
      </c>
      <c r="E21" s="20" t="s">
        <v>42</v>
      </c>
      <c r="F21" s="20"/>
      <c r="G21" s="20" t="s">
        <v>43</v>
      </c>
      <c r="H21" s="20" t="s">
        <v>162</v>
      </c>
      <c r="I21" s="20" t="s">
        <v>163</v>
      </c>
      <c r="J21" s="20"/>
      <c r="K21" s="20"/>
      <c r="L21" s="21" t="s">
        <v>168</v>
      </c>
      <c r="M21" s="20" t="s">
        <v>218</v>
      </c>
      <c r="N21" s="21" t="s">
        <v>64</v>
      </c>
      <c r="O21" s="20">
        <v>9300</v>
      </c>
      <c r="P21" s="22">
        <v>9300</v>
      </c>
      <c r="Q21" s="30">
        <v>45539</v>
      </c>
      <c r="R21" s="30">
        <v>45550</v>
      </c>
      <c r="S21" s="30">
        <v>45552</v>
      </c>
      <c r="T21" s="28" t="s">
        <v>199</v>
      </c>
      <c r="U21" s="20" t="s">
        <v>191</v>
      </c>
    </row>
    <row r="22" spans="1:21" ht="20.100000000000001" customHeight="1" x14ac:dyDescent="0.2">
      <c r="A22" s="83">
        <v>21</v>
      </c>
      <c r="B22" s="31">
        <v>1408098</v>
      </c>
      <c r="C22" s="31">
        <v>1201057</v>
      </c>
      <c r="D22" s="28" t="s">
        <v>33</v>
      </c>
      <c r="E22" s="28" t="s">
        <v>67</v>
      </c>
      <c r="F22" s="28"/>
      <c r="G22" s="28" t="s">
        <v>8</v>
      </c>
      <c r="H22" s="28" t="s">
        <v>150</v>
      </c>
      <c r="I22" s="28" t="s">
        <v>153</v>
      </c>
      <c r="J22" s="28" t="s">
        <v>177</v>
      </c>
      <c r="K22" s="28">
        <v>80</v>
      </c>
      <c r="L22" s="28" t="s">
        <v>167</v>
      </c>
      <c r="M22" s="21" t="s">
        <v>168</v>
      </c>
      <c r="N22" s="32" t="s">
        <v>68</v>
      </c>
      <c r="O22" s="28">
        <v>7987</v>
      </c>
      <c r="P22" s="33" t="s">
        <v>16</v>
      </c>
      <c r="Q22" s="34">
        <v>45541</v>
      </c>
      <c r="R22" s="34">
        <v>45551</v>
      </c>
      <c r="S22" s="34">
        <v>45556</v>
      </c>
      <c r="T22" s="28" t="s">
        <v>199</v>
      </c>
      <c r="U22" s="28" t="s">
        <v>198</v>
      </c>
    </row>
    <row r="23" spans="1:21" ht="20.100000000000001" customHeight="1" x14ac:dyDescent="0.2">
      <c r="A23" s="83">
        <v>22</v>
      </c>
      <c r="B23" s="31">
        <v>1408100</v>
      </c>
      <c r="C23" s="31">
        <v>1201057</v>
      </c>
      <c r="D23" s="28" t="s">
        <v>33</v>
      </c>
      <c r="E23" s="28" t="s">
        <v>67</v>
      </c>
      <c r="F23" s="28"/>
      <c r="G23" s="28" t="s">
        <v>8</v>
      </c>
      <c r="H23" s="28" t="s">
        <v>150</v>
      </c>
      <c r="I23" s="28" t="s">
        <v>153</v>
      </c>
      <c r="J23" s="28" t="s">
        <v>177</v>
      </c>
      <c r="K23" s="28">
        <v>80</v>
      </c>
      <c r="L23" s="28" t="s">
        <v>167</v>
      </c>
      <c r="M23" s="21" t="s">
        <v>168</v>
      </c>
      <c r="N23" s="32" t="s">
        <v>68</v>
      </c>
      <c r="O23" s="28">
        <v>7987</v>
      </c>
      <c r="P23" s="33" t="s">
        <v>16</v>
      </c>
      <c r="Q23" s="34">
        <v>45541</v>
      </c>
      <c r="R23" s="34">
        <v>45551</v>
      </c>
      <c r="S23" s="34">
        <v>45556</v>
      </c>
      <c r="T23" s="28" t="s">
        <v>199</v>
      </c>
      <c r="U23" s="28" t="s">
        <v>198</v>
      </c>
    </row>
    <row r="24" spans="1:21" ht="20.100000000000001" customHeight="1" x14ac:dyDescent="0.2">
      <c r="A24" s="83">
        <v>23</v>
      </c>
      <c r="B24" s="31">
        <v>1408101</v>
      </c>
      <c r="C24" s="31">
        <v>1201057</v>
      </c>
      <c r="D24" s="28" t="s">
        <v>33</v>
      </c>
      <c r="E24" s="28" t="s">
        <v>67</v>
      </c>
      <c r="F24" s="28"/>
      <c r="G24" s="28" t="s">
        <v>8</v>
      </c>
      <c r="H24" s="28" t="s">
        <v>150</v>
      </c>
      <c r="I24" s="28" t="s">
        <v>153</v>
      </c>
      <c r="J24" s="28" t="s">
        <v>177</v>
      </c>
      <c r="K24" s="28">
        <v>80</v>
      </c>
      <c r="L24" s="28" t="s">
        <v>167</v>
      </c>
      <c r="M24" s="21" t="s">
        <v>168</v>
      </c>
      <c r="N24" s="32" t="s">
        <v>68</v>
      </c>
      <c r="O24" s="28">
        <v>7987</v>
      </c>
      <c r="P24" s="33" t="s">
        <v>16</v>
      </c>
      <c r="Q24" s="34">
        <v>45541</v>
      </c>
      <c r="R24" s="34">
        <v>45551</v>
      </c>
      <c r="S24" s="34">
        <v>45556</v>
      </c>
      <c r="T24" s="28" t="s">
        <v>199</v>
      </c>
      <c r="U24" s="28" t="s">
        <v>198</v>
      </c>
    </row>
    <row r="25" spans="1:21" ht="20.100000000000001" customHeight="1" x14ac:dyDescent="0.2">
      <c r="A25" s="81">
        <v>24</v>
      </c>
      <c r="B25" s="14">
        <v>1513856</v>
      </c>
      <c r="C25" s="14">
        <v>1231946</v>
      </c>
      <c r="D25" s="35" t="s">
        <v>106</v>
      </c>
      <c r="E25" s="35" t="s">
        <v>107</v>
      </c>
      <c r="F25" s="35"/>
      <c r="G25" s="8" t="s">
        <v>8</v>
      </c>
      <c r="H25" s="8" t="s">
        <v>157</v>
      </c>
      <c r="I25" s="8" t="s">
        <v>187</v>
      </c>
      <c r="J25" s="35"/>
      <c r="K25" s="35"/>
      <c r="L25" s="21" t="s">
        <v>168</v>
      </c>
      <c r="M25" s="35" t="s">
        <v>218</v>
      </c>
      <c r="N25" s="15" t="s">
        <v>63</v>
      </c>
      <c r="O25" s="35">
        <v>8849</v>
      </c>
      <c r="P25" s="59" t="s">
        <v>16</v>
      </c>
      <c r="Q25" s="36">
        <v>45538</v>
      </c>
      <c r="R25" s="36">
        <v>45581</v>
      </c>
      <c r="S25" s="36"/>
      <c r="T25" s="7" t="s">
        <v>337</v>
      </c>
      <c r="U25" s="7" t="s">
        <v>193</v>
      </c>
    </row>
    <row r="26" spans="1:21" ht="20.100000000000001" customHeight="1" x14ac:dyDescent="0.2">
      <c r="A26" s="83">
        <v>25</v>
      </c>
      <c r="B26" s="31">
        <v>1411691</v>
      </c>
      <c r="C26" s="31">
        <v>1202775</v>
      </c>
      <c r="D26" s="28" t="s">
        <v>69</v>
      </c>
      <c r="E26" s="28" t="s">
        <v>39</v>
      </c>
      <c r="F26" s="28"/>
      <c r="G26" s="28" t="s">
        <v>8</v>
      </c>
      <c r="H26" s="28" t="s">
        <v>150</v>
      </c>
      <c r="I26" s="28" t="s">
        <v>153</v>
      </c>
      <c r="J26" s="28" t="s">
        <v>156</v>
      </c>
      <c r="K26" s="28">
        <v>120</v>
      </c>
      <c r="L26" s="28" t="s">
        <v>167</v>
      </c>
      <c r="M26" s="21" t="s">
        <v>168</v>
      </c>
      <c r="N26" s="32" t="s">
        <v>70</v>
      </c>
      <c r="O26" s="28">
        <v>10987</v>
      </c>
      <c r="P26" s="33" t="s">
        <v>16</v>
      </c>
      <c r="Q26" s="34">
        <v>45544</v>
      </c>
      <c r="R26" s="34">
        <v>45552</v>
      </c>
      <c r="S26" s="34">
        <v>45556</v>
      </c>
      <c r="T26" s="28" t="s">
        <v>199</v>
      </c>
      <c r="U26" s="28" t="s">
        <v>191</v>
      </c>
    </row>
    <row r="27" spans="1:21" ht="20.100000000000001" customHeight="1" x14ac:dyDescent="0.25">
      <c r="A27" s="83">
        <v>26</v>
      </c>
      <c r="B27" s="28"/>
      <c r="C27" s="28"/>
      <c r="D27" s="28" t="s">
        <v>31</v>
      </c>
      <c r="E27" s="28"/>
      <c r="F27" s="28"/>
      <c r="G27" s="28" t="s">
        <v>31</v>
      </c>
      <c r="H27" s="28" t="s">
        <v>150</v>
      </c>
      <c r="I27" s="28" t="s">
        <v>165</v>
      </c>
      <c r="J27" s="28" t="s">
        <v>154</v>
      </c>
      <c r="K27" s="28">
        <v>100</v>
      </c>
      <c r="L27" s="28" t="s">
        <v>167</v>
      </c>
      <c r="M27" s="28"/>
      <c r="N27" s="32" t="s">
        <v>51</v>
      </c>
      <c r="O27" s="28">
        <v>9208</v>
      </c>
      <c r="P27" s="33">
        <v>5781.75</v>
      </c>
      <c r="Q27" s="34">
        <v>45536</v>
      </c>
      <c r="R27" s="34">
        <v>45554</v>
      </c>
      <c r="S27" s="34">
        <v>45556</v>
      </c>
      <c r="T27" s="28" t="s">
        <v>199</v>
      </c>
      <c r="U27" s="28" t="s">
        <v>198</v>
      </c>
    </row>
    <row r="28" spans="1:21" ht="20.100000000000001" customHeight="1" x14ac:dyDescent="0.25">
      <c r="A28" s="83">
        <v>27</v>
      </c>
      <c r="B28" s="28"/>
      <c r="C28" s="28"/>
      <c r="D28" s="28" t="s">
        <v>31</v>
      </c>
      <c r="E28" s="28"/>
      <c r="F28" s="28"/>
      <c r="G28" s="28" t="s">
        <v>52</v>
      </c>
      <c r="H28" s="28" t="s">
        <v>150</v>
      </c>
      <c r="I28" s="28" t="s">
        <v>165</v>
      </c>
      <c r="J28" s="28" t="s">
        <v>154</v>
      </c>
      <c r="K28" s="28">
        <v>100</v>
      </c>
      <c r="L28" s="28" t="s">
        <v>168</v>
      </c>
      <c r="M28" s="28"/>
      <c r="N28" s="32" t="s">
        <v>53</v>
      </c>
      <c r="O28" s="28">
        <v>9208</v>
      </c>
      <c r="P28" s="33">
        <v>1278.53</v>
      </c>
      <c r="Q28" s="34">
        <v>45536</v>
      </c>
      <c r="R28" s="34">
        <v>45554</v>
      </c>
      <c r="S28" s="34">
        <v>45556</v>
      </c>
      <c r="T28" s="28" t="s">
        <v>199</v>
      </c>
      <c r="U28" s="28" t="s">
        <v>198</v>
      </c>
    </row>
    <row r="29" spans="1:21" ht="20.100000000000001" customHeight="1" x14ac:dyDescent="0.25">
      <c r="A29" s="83">
        <v>28</v>
      </c>
      <c r="B29" s="28"/>
      <c r="C29" s="28"/>
      <c r="D29" s="28" t="s">
        <v>83</v>
      </c>
      <c r="E29" s="28" t="s">
        <v>84</v>
      </c>
      <c r="F29" s="28"/>
      <c r="G29" s="28" t="s">
        <v>56</v>
      </c>
      <c r="H29" s="28" t="s">
        <v>150</v>
      </c>
      <c r="I29" s="28" t="s">
        <v>153</v>
      </c>
      <c r="J29" s="28" t="s">
        <v>177</v>
      </c>
      <c r="K29" s="28">
        <v>120</v>
      </c>
      <c r="L29" s="28" t="s">
        <v>167</v>
      </c>
      <c r="M29" s="21" t="s">
        <v>168</v>
      </c>
      <c r="N29" s="19" t="s">
        <v>87</v>
      </c>
      <c r="O29" s="28">
        <v>4020</v>
      </c>
      <c r="P29" s="33" t="s">
        <v>85</v>
      </c>
      <c r="Q29" s="34">
        <v>45547</v>
      </c>
      <c r="R29" s="34">
        <v>45556</v>
      </c>
      <c r="S29" s="34">
        <v>45557</v>
      </c>
      <c r="T29" s="28" t="s">
        <v>199</v>
      </c>
      <c r="U29" s="28" t="s">
        <v>191</v>
      </c>
    </row>
    <row r="30" spans="1:21" ht="20.100000000000001" customHeight="1" x14ac:dyDescent="0.25">
      <c r="A30" s="83">
        <v>29</v>
      </c>
      <c r="B30" s="28"/>
      <c r="C30" s="28"/>
      <c r="D30" s="28" t="s">
        <v>83</v>
      </c>
      <c r="E30" s="28" t="s">
        <v>84</v>
      </c>
      <c r="F30" s="28"/>
      <c r="G30" s="28" t="s">
        <v>56</v>
      </c>
      <c r="H30" s="28" t="s">
        <v>150</v>
      </c>
      <c r="I30" s="28" t="s">
        <v>153</v>
      </c>
      <c r="J30" s="28" t="s">
        <v>177</v>
      </c>
      <c r="K30" s="28">
        <v>120</v>
      </c>
      <c r="L30" s="28" t="s">
        <v>167</v>
      </c>
      <c r="M30" s="21" t="s">
        <v>168</v>
      </c>
      <c r="N30" s="19" t="s">
        <v>87</v>
      </c>
      <c r="O30" s="28">
        <v>4020</v>
      </c>
      <c r="P30" s="33" t="s">
        <v>85</v>
      </c>
      <c r="Q30" s="34">
        <v>45547</v>
      </c>
      <c r="R30" s="34">
        <v>45556</v>
      </c>
      <c r="S30" s="34">
        <v>45557</v>
      </c>
      <c r="T30" s="28" t="s">
        <v>199</v>
      </c>
      <c r="U30" s="28" t="s">
        <v>191</v>
      </c>
    </row>
    <row r="31" spans="1:21" ht="20.100000000000001" customHeight="1" x14ac:dyDescent="0.25">
      <c r="A31" s="83">
        <v>30</v>
      </c>
      <c r="B31" s="28"/>
      <c r="C31" s="28"/>
      <c r="D31" s="28" t="s">
        <v>83</v>
      </c>
      <c r="E31" s="28" t="s">
        <v>84</v>
      </c>
      <c r="F31" s="28"/>
      <c r="G31" s="28" t="s">
        <v>56</v>
      </c>
      <c r="H31" s="28" t="s">
        <v>150</v>
      </c>
      <c r="I31" s="28" t="s">
        <v>153</v>
      </c>
      <c r="J31" s="28" t="s">
        <v>169</v>
      </c>
      <c r="K31" s="28">
        <v>120</v>
      </c>
      <c r="L31" s="28" t="s">
        <v>168</v>
      </c>
      <c r="M31" s="21" t="s">
        <v>168</v>
      </c>
      <c r="N31" s="19" t="s">
        <v>86</v>
      </c>
      <c r="O31" s="28">
        <v>4020</v>
      </c>
      <c r="P31" s="33" t="s">
        <v>115</v>
      </c>
      <c r="Q31" s="34">
        <v>45547</v>
      </c>
      <c r="R31" s="34">
        <v>45556</v>
      </c>
      <c r="S31" s="34">
        <v>45557</v>
      </c>
      <c r="T31" s="28" t="s">
        <v>199</v>
      </c>
      <c r="U31" s="28" t="s">
        <v>191</v>
      </c>
    </row>
    <row r="32" spans="1:21" ht="20.100000000000001" customHeight="1" x14ac:dyDescent="0.25">
      <c r="A32" s="83">
        <v>31</v>
      </c>
      <c r="B32" s="28"/>
      <c r="C32" s="28"/>
      <c r="D32" s="28" t="s">
        <v>83</v>
      </c>
      <c r="E32" s="28" t="s">
        <v>84</v>
      </c>
      <c r="F32" s="28"/>
      <c r="G32" s="28" t="s">
        <v>56</v>
      </c>
      <c r="H32" s="28" t="s">
        <v>150</v>
      </c>
      <c r="I32" s="28" t="s">
        <v>153</v>
      </c>
      <c r="J32" s="28" t="s">
        <v>169</v>
      </c>
      <c r="K32" s="28">
        <v>120</v>
      </c>
      <c r="L32" s="28" t="s">
        <v>168</v>
      </c>
      <c r="M32" s="21" t="s">
        <v>168</v>
      </c>
      <c r="N32" s="19" t="s">
        <v>86</v>
      </c>
      <c r="O32" s="28">
        <v>4020</v>
      </c>
      <c r="P32" s="33" t="s">
        <v>115</v>
      </c>
      <c r="Q32" s="34">
        <v>45547</v>
      </c>
      <c r="R32" s="34">
        <v>45556</v>
      </c>
      <c r="S32" s="34">
        <v>45557</v>
      </c>
      <c r="T32" s="28" t="s">
        <v>199</v>
      </c>
      <c r="U32" s="28" t="s">
        <v>191</v>
      </c>
    </row>
    <row r="33" spans="1:21" ht="20.100000000000001" customHeight="1" x14ac:dyDescent="0.2">
      <c r="A33" s="82">
        <v>32</v>
      </c>
      <c r="B33" s="37">
        <v>1509211</v>
      </c>
      <c r="C33" s="37">
        <v>1230837</v>
      </c>
      <c r="D33" s="11" t="s">
        <v>143</v>
      </c>
      <c r="E33" s="11" t="s">
        <v>144</v>
      </c>
      <c r="F33" s="11"/>
      <c r="G33" s="11" t="s">
        <v>8</v>
      </c>
      <c r="H33" s="11" t="s">
        <v>150</v>
      </c>
      <c r="I33" s="11" t="s">
        <v>151</v>
      </c>
      <c r="J33" s="11"/>
      <c r="K33" s="11"/>
      <c r="L33" s="11" t="s">
        <v>168</v>
      </c>
      <c r="M33" s="11" t="s">
        <v>168</v>
      </c>
      <c r="N33" s="38" t="s">
        <v>145</v>
      </c>
      <c r="O33" s="11">
        <v>9399</v>
      </c>
      <c r="P33" s="33" t="s">
        <v>115</v>
      </c>
      <c r="Q33" s="11" t="s">
        <v>146</v>
      </c>
      <c r="R33" s="40">
        <v>45557</v>
      </c>
      <c r="S33" s="11" t="s">
        <v>192</v>
      </c>
      <c r="T33" s="11" t="s">
        <v>37</v>
      </c>
      <c r="U33" s="11" t="s">
        <v>192</v>
      </c>
    </row>
    <row r="34" spans="1:21" ht="20.100000000000001" customHeight="1" x14ac:dyDescent="0.2">
      <c r="A34" s="83">
        <v>33</v>
      </c>
      <c r="B34" s="31">
        <v>1536687</v>
      </c>
      <c r="C34" s="31">
        <v>1237682</v>
      </c>
      <c r="D34" s="28" t="s">
        <v>147</v>
      </c>
      <c r="E34" s="28" t="s">
        <v>148</v>
      </c>
      <c r="F34" s="28"/>
      <c r="G34" s="28" t="s">
        <v>8</v>
      </c>
      <c r="H34" s="28" t="s">
        <v>157</v>
      </c>
      <c r="I34" s="28" t="s">
        <v>189</v>
      </c>
      <c r="J34" s="28"/>
      <c r="K34" s="28"/>
      <c r="L34" s="21" t="s">
        <v>168</v>
      </c>
      <c r="M34" s="28" t="s">
        <v>335</v>
      </c>
      <c r="N34" s="32" t="s">
        <v>149</v>
      </c>
      <c r="O34" s="28">
        <v>8349</v>
      </c>
      <c r="P34" s="33" t="s">
        <v>115</v>
      </c>
      <c r="Q34" s="34">
        <v>45549</v>
      </c>
      <c r="R34" s="34">
        <v>45557</v>
      </c>
      <c r="S34" s="34">
        <v>45559</v>
      </c>
      <c r="T34" s="21" t="s">
        <v>28</v>
      </c>
      <c r="U34" s="28" t="s">
        <v>191</v>
      </c>
    </row>
    <row r="35" spans="1:21" ht="20.100000000000001" customHeight="1" x14ac:dyDescent="0.2">
      <c r="A35" s="83">
        <v>34</v>
      </c>
      <c r="B35" s="31">
        <v>1520537</v>
      </c>
      <c r="C35" s="31">
        <v>1233624</v>
      </c>
      <c r="D35" s="41" t="s">
        <v>104</v>
      </c>
      <c r="E35" s="41" t="s">
        <v>39</v>
      </c>
      <c r="F35" s="41"/>
      <c r="G35" s="28" t="s">
        <v>8</v>
      </c>
      <c r="H35" s="41" t="s">
        <v>150</v>
      </c>
      <c r="I35" s="41" t="s">
        <v>151</v>
      </c>
      <c r="J35" s="41"/>
      <c r="K35" s="41"/>
      <c r="L35" s="28" t="s">
        <v>168</v>
      </c>
      <c r="M35" s="28" t="s">
        <v>168</v>
      </c>
      <c r="N35" s="42" t="s">
        <v>105</v>
      </c>
      <c r="O35" s="41">
        <v>9399</v>
      </c>
      <c r="P35" s="43" t="s">
        <v>16</v>
      </c>
      <c r="Q35" s="44">
        <v>45548</v>
      </c>
      <c r="R35" s="44">
        <v>45559</v>
      </c>
      <c r="S35" s="44" t="s">
        <v>209</v>
      </c>
      <c r="T35" s="41" t="s">
        <v>28</v>
      </c>
      <c r="U35" s="28" t="s">
        <v>198</v>
      </c>
    </row>
    <row r="36" spans="1:21" ht="20.100000000000001" customHeight="1" x14ac:dyDescent="0.2">
      <c r="A36" s="83">
        <v>35</v>
      </c>
      <c r="B36" s="31">
        <v>1422998</v>
      </c>
      <c r="C36" s="31">
        <v>1207350</v>
      </c>
      <c r="D36" s="28" t="s">
        <v>71</v>
      </c>
      <c r="E36" s="28" t="s">
        <v>72</v>
      </c>
      <c r="F36" s="28"/>
      <c r="G36" s="28" t="s">
        <v>8</v>
      </c>
      <c r="H36" s="28" t="s">
        <v>157</v>
      </c>
      <c r="I36" s="28" t="s">
        <v>187</v>
      </c>
      <c r="J36" s="28"/>
      <c r="K36" s="28"/>
      <c r="L36" s="21" t="s">
        <v>168</v>
      </c>
      <c r="M36" s="28" t="s">
        <v>218</v>
      </c>
      <c r="N36" s="32" t="s">
        <v>63</v>
      </c>
      <c r="O36" s="28">
        <v>7849</v>
      </c>
      <c r="P36" s="33">
        <v>7928</v>
      </c>
      <c r="Q36" s="34">
        <v>45547</v>
      </c>
      <c r="R36" s="34">
        <v>45561</v>
      </c>
      <c r="S36" s="21" t="s">
        <v>28</v>
      </c>
      <c r="T36" s="21" t="s">
        <v>28</v>
      </c>
      <c r="U36" s="28" t="s">
        <v>194</v>
      </c>
    </row>
    <row r="37" spans="1:21" ht="20.100000000000001" customHeight="1" x14ac:dyDescent="0.25">
      <c r="A37" s="84">
        <v>36</v>
      </c>
      <c r="B37" s="53"/>
      <c r="C37" s="53"/>
      <c r="D37" s="53" t="s">
        <v>79</v>
      </c>
      <c r="E37" s="53" t="s">
        <v>80</v>
      </c>
      <c r="F37" s="53" t="s">
        <v>81</v>
      </c>
      <c r="G37" s="53" t="s">
        <v>35</v>
      </c>
      <c r="H37" s="53" t="s">
        <v>150</v>
      </c>
      <c r="I37" s="53" t="s">
        <v>171</v>
      </c>
      <c r="J37" s="53" t="s">
        <v>155</v>
      </c>
      <c r="K37" s="53">
        <v>100</v>
      </c>
      <c r="L37" s="53" t="s">
        <v>168</v>
      </c>
      <c r="M37" s="53"/>
      <c r="N37" s="54" t="s">
        <v>82</v>
      </c>
      <c r="O37" s="53">
        <v>9450</v>
      </c>
      <c r="P37" s="45">
        <v>9450</v>
      </c>
      <c r="Q37" s="46">
        <v>45547</v>
      </c>
      <c r="R37" s="46">
        <v>45561</v>
      </c>
      <c r="S37" s="46"/>
      <c r="T37" s="7" t="s">
        <v>337</v>
      </c>
      <c r="U37" s="53" t="s">
        <v>236</v>
      </c>
    </row>
    <row r="38" spans="1:21" ht="20.100000000000001" customHeight="1" x14ac:dyDescent="0.2">
      <c r="A38" s="83">
        <v>37</v>
      </c>
      <c r="B38" s="31">
        <v>1459790</v>
      </c>
      <c r="C38" s="31">
        <v>1218257</v>
      </c>
      <c r="D38" s="41" t="s">
        <v>95</v>
      </c>
      <c r="E38" s="41" t="s">
        <v>67</v>
      </c>
      <c r="F38" s="41"/>
      <c r="G38" s="28" t="s">
        <v>8</v>
      </c>
      <c r="H38" s="41" t="s">
        <v>150</v>
      </c>
      <c r="I38" s="28" t="s">
        <v>153</v>
      </c>
      <c r="J38" s="28" t="s">
        <v>156</v>
      </c>
      <c r="K38" s="41">
        <v>120</v>
      </c>
      <c r="L38" s="41" t="s">
        <v>168</v>
      </c>
      <c r="M38" s="21" t="s">
        <v>168</v>
      </c>
      <c r="N38" s="42" t="s">
        <v>96</v>
      </c>
      <c r="O38" s="41">
        <v>7460</v>
      </c>
      <c r="P38" s="43" t="s">
        <v>16</v>
      </c>
      <c r="Q38" s="44">
        <v>45548</v>
      </c>
      <c r="R38" s="44">
        <v>45561</v>
      </c>
      <c r="S38" s="44">
        <v>45568</v>
      </c>
      <c r="T38" s="28" t="s">
        <v>199</v>
      </c>
      <c r="U38" s="28" t="s">
        <v>198</v>
      </c>
    </row>
    <row r="39" spans="1:21" ht="20.100000000000001" customHeight="1" x14ac:dyDescent="0.2">
      <c r="A39" s="83">
        <v>38</v>
      </c>
      <c r="B39" s="31">
        <v>1455486</v>
      </c>
      <c r="C39" s="31">
        <v>1217163</v>
      </c>
      <c r="D39" s="41" t="s">
        <v>99</v>
      </c>
      <c r="E39" s="28" t="s">
        <v>67</v>
      </c>
      <c r="F39" s="41"/>
      <c r="G39" s="28" t="s">
        <v>8</v>
      </c>
      <c r="H39" s="41" t="s">
        <v>150</v>
      </c>
      <c r="I39" s="28" t="s">
        <v>153</v>
      </c>
      <c r="J39" s="41" t="s">
        <v>178</v>
      </c>
      <c r="K39" s="41">
        <v>140</v>
      </c>
      <c r="L39" s="41" t="s">
        <v>176</v>
      </c>
      <c r="M39" s="41" t="s">
        <v>172</v>
      </c>
      <c r="N39" s="42" t="s">
        <v>100</v>
      </c>
      <c r="O39" s="41">
        <v>9528</v>
      </c>
      <c r="P39" s="43" t="s">
        <v>16</v>
      </c>
      <c r="Q39" s="44">
        <v>45548</v>
      </c>
      <c r="R39" s="44">
        <v>45561</v>
      </c>
      <c r="S39" s="44">
        <v>45568</v>
      </c>
      <c r="T39" s="28" t="s">
        <v>199</v>
      </c>
      <c r="U39" s="28" t="s">
        <v>198</v>
      </c>
    </row>
    <row r="40" spans="1:21" ht="20.100000000000001" customHeight="1" x14ac:dyDescent="0.2">
      <c r="A40" s="83">
        <v>39</v>
      </c>
      <c r="B40" s="31">
        <v>1504407</v>
      </c>
      <c r="C40" s="31">
        <v>1229760</v>
      </c>
      <c r="D40" s="28" t="s">
        <v>141</v>
      </c>
      <c r="E40" s="28" t="s">
        <v>39</v>
      </c>
      <c r="F40" s="28"/>
      <c r="G40" s="28" t="s">
        <v>8</v>
      </c>
      <c r="H40" s="28" t="s">
        <v>150</v>
      </c>
      <c r="I40" s="28" t="s">
        <v>165</v>
      </c>
      <c r="J40" s="28" t="s">
        <v>155</v>
      </c>
      <c r="K40" s="28">
        <v>120</v>
      </c>
      <c r="L40" s="28" t="s">
        <v>172</v>
      </c>
      <c r="M40" s="28"/>
      <c r="N40" s="32" t="s">
        <v>142</v>
      </c>
      <c r="O40" s="28">
        <v>12999</v>
      </c>
      <c r="P40" s="33" t="s">
        <v>16</v>
      </c>
      <c r="Q40" s="34">
        <v>45549</v>
      </c>
      <c r="R40" s="34">
        <v>45562</v>
      </c>
      <c r="S40" s="34">
        <v>45567</v>
      </c>
      <c r="T40" s="28" t="s">
        <v>199</v>
      </c>
      <c r="U40" s="28" t="s">
        <v>198</v>
      </c>
    </row>
    <row r="41" spans="1:21" ht="20.100000000000001" customHeight="1" x14ac:dyDescent="0.2">
      <c r="A41" s="81">
        <v>40</v>
      </c>
      <c r="B41" s="14">
        <v>1423361</v>
      </c>
      <c r="C41" s="14">
        <v>1207484</v>
      </c>
      <c r="D41" s="8" t="s">
        <v>73</v>
      </c>
      <c r="E41" s="8" t="s">
        <v>74</v>
      </c>
      <c r="F41" s="8"/>
      <c r="G41" s="8" t="s">
        <v>8</v>
      </c>
      <c r="H41" s="8" t="s">
        <v>150</v>
      </c>
      <c r="I41" s="8" t="s">
        <v>165</v>
      </c>
      <c r="J41" s="8" t="s">
        <v>152</v>
      </c>
      <c r="K41" s="8">
        <v>90</v>
      </c>
      <c r="L41" s="8" t="s">
        <v>168</v>
      </c>
      <c r="M41" s="8"/>
      <c r="N41" s="15" t="s">
        <v>77</v>
      </c>
      <c r="O41" s="8">
        <v>5999</v>
      </c>
      <c r="P41" s="16" t="s">
        <v>16</v>
      </c>
      <c r="Q41" s="17">
        <v>45547</v>
      </c>
      <c r="R41" s="17">
        <v>45564</v>
      </c>
      <c r="S41" s="17"/>
      <c r="T41" s="8"/>
      <c r="U41" s="8"/>
    </row>
    <row r="42" spans="1:21" ht="20.100000000000001" customHeight="1" x14ac:dyDescent="0.2">
      <c r="A42" s="83">
        <v>41</v>
      </c>
      <c r="B42" s="31">
        <v>1415725</v>
      </c>
      <c r="C42" s="31">
        <v>1204732</v>
      </c>
      <c r="D42" s="28" t="s">
        <v>75</v>
      </c>
      <c r="E42" s="28" t="s">
        <v>76</v>
      </c>
      <c r="F42" s="28"/>
      <c r="G42" s="28" t="s">
        <v>8</v>
      </c>
      <c r="H42" s="28" t="s">
        <v>150</v>
      </c>
      <c r="I42" s="28" t="s">
        <v>165</v>
      </c>
      <c r="J42" s="28" t="s">
        <v>155</v>
      </c>
      <c r="K42" s="28">
        <v>100</v>
      </c>
      <c r="L42" s="28" t="s">
        <v>168</v>
      </c>
      <c r="M42" s="28"/>
      <c r="N42" s="32" t="s">
        <v>78</v>
      </c>
      <c r="O42" s="28">
        <v>11949</v>
      </c>
      <c r="P42" s="33">
        <v>10749</v>
      </c>
      <c r="Q42" s="34">
        <v>45547</v>
      </c>
      <c r="R42" s="34">
        <v>45564</v>
      </c>
      <c r="S42" s="34">
        <v>45567</v>
      </c>
      <c r="T42" s="28" t="s">
        <v>199</v>
      </c>
      <c r="U42" s="28" t="s">
        <v>198</v>
      </c>
    </row>
    <row r="43" spans="1:21" ht="20.100000000000001" customHeight="1" x14ac:dyDescent="0.2">
      <c r="A43" s="83">
        <v>42</v>
      </c>
      <c r="B43" s="31">
        <v>1415726</v>
      </c>
      <c r="C43" s="31">
        <v>1204732</v>
      </c>
      <c r="D43" s="28" t="s">
        <v>75</v>
      </c>
      <c r="E43" s="28" t="s">
        <v>76</v>
      </c>
      <c r="F43" s="28"/>
      <c r="G43" s="28" t="s">
        <v>8</v>
      </c>
      <c r="H43" s="28" t="s">
        <v>150</v>
      </c>
      <c r="I43" s="28" t="s">
        <v>165</v>
      </c>
      <c r="J43" s="28" t="s">
        <v>155</v>
      </c>
      <c r="K43" s="28">
        <v>100</v>
      </c>
      <c r="L43" s="28" t="s">
        <v>168</v>
      </c>
      <c r="M43" s="28"/>
      <c r="N43" s="32" t="s">
        <v>78</v>
      </c>
      <c r="O43" s="28">
        <v>11949</v>
      </c>
      <c r="P43" s="33">
        <v>10749</v>
      </c>
      <c r="Q43" s="34">
        <v>45547</v>
      </c>
      <c r="R43" s="34">
        <v>45564</v>
      </c>
      <c r="S43" s="34">
        <v>45567</v>
      </c>
      <c r="T43" s="28" t="s">
        <v>199</v>
      </c>
      <c r="U43" s="28" t="s">
        <v>198</v>
      </c>
    </row>
    <row r="44" spans="1:21" ht="20.100000000000001" customHeight="1" x14ac:dyDescent="0.2">
      <c r="A44" s="83">
        <v>43</v>
      </c>
      <c r="B44" s="31">
        <v>1499397</v>
      </c>
      <c r="C44" s="31">
        <v>1228586</v>
      </c>
      <c r="D44" s="41" t="s">
        <v>33</v>
      </c>
      <c r="E44" s="41" t="s">
        <v>88</v>
      </c>
      <c r="F44" s="41"/>
      <c r="G44" s="28" t="s">
        <v>8</v>
      </c>
      <c r="H44" s="41" t="s">
        <v>150</v>
      </c>
      <c r="I44" s="28" t="s">
        <v>171</v>
      </c>
      <c r="J44" s="28" t="s">
        <v>155</v>
      </c>
      <c r="K44" s="41">
        <v>80</v>
      </c>
      <c r="L44" s="41" t="s">
        <v>167</v>
      </c>
      <c r="M44" s="41"/>
      <c r="N44" s="42" t="s">
        <v>91</v>
      </c>
      <c r="O44" s="41">
        <v>16599</v>
      </c>
      <c r="P44" s="43" t="s">
        <v>16</v>
      </c>
      <c r="Q44" s="44">
        <v>45548</v>
      </c>
      <c r="R44" s="44">
        <v>45565</v>
      </c>
      <c r="S44" s="44">
        <v>45568</v>
      </c>
      <c r="T44" s="28" t="s">
        <v>199</v>
      </c>
      <c r="U44" s="28" t="s">
        <v>198</v>
      </c>
    </row>
    <row r="45" spans="1:21" ht="20.100000000000001" customHeight="1" x14ac:dyDescent="0.2">
      <c r="A45" s="83">
        <v>44</v>
      </c>
      <c r="B45" s="31">
        <v>1458696</v>
      </c>
      <c r="C45" s="31">
        <v>1217982</v>
      </c>
      <c r="D45" s="41" t="s">
        <v>89</v>
      </c>
      <c r="E45" s="41" t="s">
        <v>26</v>
      </c>
      <c r="F45" s="41"/>
      <c r="G45" s="28" t="s">
        <v>8</v>
      </c>
      <c r="H45" s="41" t="s">
        <v>150</v>
      </c>
      <c r="I45" s="28" t="s">
        <v>165</v>
      </c>
      <c r="J45" s="28" t="s">
        <v>155</v>
      </c>
      <c r="K45" s="28">
        <v>80</v>
      </c>
      <c r="L45" s="28" t="s">
        <v>167</v>
      </c>
      <c r="M45" s="28"/>
      <c r="N45" s="42" t="s">
        <v>90</v>
      </c>
      <c r="O45" s="41">
        <v>10999</v>
      </c>
      <c r="P45" s="43" t="s">
        <v>16</v>
      </c>
      <c r="Q45" s="44">
        <v>45548</v>
      </c>
      <c r="R45" s="44">
        <v>45565</v>
      </c>
      <c r="S45" s="44">
        <v>45581</v>
      </c>
      <c r="T45" s="41" t="s">
        <v>28</v>
      </c>
      <c r="U45" s="28" t="s">
        <v>198</v>
      </c>
    </row>
    <row r="46" spans="1:21" ht="20.100000000000001" customHeight="1" x14ac:dyDescent="0.2">
      <c r="A46" s="83">
        <v>45</v>
      </c>
      <c r="B46" s="31">
        <v>1480814</v>
      </c>
      <c r="C46" s="31">
        <v>1223964</v>
      </c>
      <c r="D46" s="41" t="s">
        <v>92</v>
      </c>
      <c r="E46" s="41" t="s">
        <v>93</v>
      </c>
      <c r="F46" s="41"/>
      <c r="G46" s="28" t="s">
        <v>8</v>
      </c>
      <c r="H46" s="41" t="s">
        <v>150</v>
      </c>
      <c r="I46" s="28" t="s">
        <v>165</v>
      </c>
      <c r="J46" s="28" t="s">
        <v>155</v>
      </c>
      <c r="K46" s="41">
        <v>140</v>
      </c>
      <c r="L46" s="41" t="s">
        <v>170</v>
      </c>
      <c r="M46" s="41"/>
      <c r="N46" s="42" t="s">
        <v>94</v>
      </c>
      <c r="O46" s="41">
        <v>13099</v>
      </c>
      <c r="P46" s="43" t="s">
        <v>16</v>
      </c>
      <c r="Q46" s="44">
        <v>45548</v>
      </c>
      <c r="R46" s="44">
        <v>45565</v>
      </c>
      <c r="S46" s="44">
        <v>45568</v>
      </c>
      <c r="T46" s="41" t="s">
        <v>28</v>
      </c>
      <c r="U46" s="28" t="s">
        <v>198</v>
      </c>
    </row>
    <row r="47" spans="1:21" ht="20.100000000000001" customHeight="1" x14ac:dyDescent="0.2">
      <c r="A47" s="83">
        <v>46</v>
      </c>
      <c r="B47" s="31">
        <v>1492471</v>
      </c>
      <c r="C47" s="31">
        <v>1227052</v>
      </c>
      <c r="D47" s="41" t="s">
        <v>97</v>
      </c>
      <c r="E47" s="28" t="s">
        <v>39</v>
      </c>
      <c r="F47" s="41"/>
      <c r="G47" s="28" t="s">
        <v>8</v>
      </c>
      <c r="H47" s="41" t="s">
        <v>150</v>
      </c>
      <c r="I47" s="28" t="s">
        <v>165</v>
      </c>
      <c r="J47" s="28" t="s">
        <v>154</v>
      </c>
      <c r="K47" s="28">
        <v>120</v>
      </c>
      <c r="L47" s="28" t="s">
        <v>173</v>
      </c>
      <c r="M47" s="28"/>
      <c r="N47" s="42" t="s">
        <v>98</v>
      </c>
      <c r="O47" s="41">
        <v>13849</v>
      </c>
      <c r="P47" s="43" t="s">
        <v>16</v>
      </c>
      <c r="Q47" s="44">
        <v>45548</v>
      </c>
      <c r="R47" s="44">
        <v>45565</v>
      </c>
      <c r="S47" s="34">
        <v>45585</v>
      </c>
      <c r="T47" s="28" t="s">
        <v>199</v>
      </c>
      <c r="U47" s="28" t="s">
        <v>198</v>
      </c>
    </row>
    <row r="48" spans="1:21" ht="20.100000000000001" customHeight="1" x14ac:dyDescent="0.2">
      <c r="A48" s="85">
        <v>47</v>
      </c>
      <c r="B48" s="47">
        <v>1507912</v>
      </c>
      <c r="C48" s="47">
        <v>1230527</v>
      </c>
      <c r="D48" s="41" t="s">
        <v>101</v>
      </c>
      <c r="E48" s="41" t="s">
        <v>102</v>
      </c>
      <c r="F48" s="41"/>
      <c r="G48" s="41" t="s">
        <v>8</v>
      </c>
      <c r="H48" s="41" t="s">
        <v>161</v>
      </c>
      <c r="I48" s="41" t="s">
        <v>164</v>
      </c>
      <c r="J48" s="41"/>
      <c r="K48" s="41"/>
      <c r="L48" s="41" t="s">
        <v>168</v>
      </c>
      <c r="M48" s="41" t="s">
        <v>172</v>
      </c>
      <c r="N48" s="42" t="s">
        <v>103</v>
      </c>
      <c r="O48" s="41">
        <v>21999</v>
      </c>
      <c r="P48" s="43" t="s">
        <v>16</v>
      </c>
      <c r="Q48" s="44">
        <v>45548</v>
      </c>
      <c r="R48" s="44">
        <v>45565</v>
      </c>
      <c r="S48" s="21" t="s">
        <v>28</v>
      </c>
      <c r="T48" s="28" t="s">
        <v>199</v>
      </c>
      <c r="U48" s="41" t="s">
        <v>198</v>
      </c>
    </row>
    <row r="49" spans="1:21" ht="20.100000000000001" customHeight="1" x14ac:dyDescent="0.2">
      <c r="A49" s="83">
        <v>48</v>
      </c>
      <c r="B49" s="31">
        <v>1525747</v>
      </c>
      <c r="C49" s="31">
        <v>1234936</v>
      </c>
      <c r="D49" s="41" t="s">
        <v>108</v>
      </c>
      <c r="E49" s="41" t="s">
        <v>39</v>
      </c>
      <c r="F49" s="41"/>
      <c r="G49" s="28" t="s">
        <v>8</v>
      </c>
      <c r="H49" s="41" t="s">
        <v>150</v>
      </c>
      <c r="I49" s="28" t="s">
        <v>165</v>
      </c>
      <c r="J49" s="28" t="s">
        <v>155</v>
      </c>
      <c r="K49" s="28">
        <v>80</v>
      </c>
      <c r="L49" s="28" t="s">
        <v>167</v>
      </c>
      <c r="M49" s="28"/>
      <c r="N49" s="42" t="s">
        <v>90</v>
      </c>
      <c r="O49" s="41">
        <v>10999</v>
      </c>
      <c r="P49" s="43" t="s">
        <v>16</v>
      </c>
      <c r="Q49" s="44">
        <v>45548</v>
      </c>
      <c r="R49" s="44">
        <v>45565</v>
      </c>
      <c r="S49" s="44">
        <v>45580</v>
      </c>
      <c r="T49" s="28" t="s">
        <v>199</v>
      </c>
      <c r="U49" s="28" t="s">
        <v>198</v>
      </c>
    </row>
    <row r="50" spans="1:21" ht="20.100000000000001" customHeight="1" x14ac:dyDescent="0.2">
      <c r="A50" s="83">
        <v>49</v>
      </c>
      <c r="B50" s="31">
        <v>1536313</v>
      </c>
      <c r="C50" s="31">
        <v>1237601</v>
      </c>
      <c r="D50" s="41" t="s">
        <v>110</v>
      </c>
      <c r="E50" s="41" t="s">
        <v>107</v>
      </c>
      <c r="F50" s="41"/>
      <c r="G50" s="28" t="s">
        <v>8</v>
      </c>
      <c r="H50" s="41" t="s">
        <v>150</v>
      </c>
      <c r="I50" s="28" t="s">
        <v>171</v>
      </c>
      <c r="J50" s="28" t="s">
        <v>155</v>
      </c>
      <c r="K50" s="41">
        <v>90</v>
      </c>
      <c r="L50" s="41" t="s">
        <v>168</v>
      </c>
      <c r="M50" s="41"/>
      <c r="N50" s="42" t="s">
        <v>111</v>
      </c>
      <c r="O50" s="41">
        <v>17249</v>
      </c>
      <c r="P50" s="43" t="s">
        <v>16</v>
      </c>
      <c r="Q50" s="44">
        <v>45548</v>
      </c>
      <c r="R50" s="44">
        <v>45565</v>
      </c>
      <c r="S50" s="44">
        <v>45569</v>
      </c>
      <c r="T50" s="28" t="s">
        <v>199</v>
      </c>
      <c r="U50" s="28" t="s">
        <v>198</v>
      </c>
    </row>
    <row r="51" spans="1:21" ht="20.100000000000001" customHeight="1" x14ac:dyDescent="0.2">
      <c r="A51" s="83">
        <v>50</v>
      </c>
      <c r="B51" s="31">
        <v>1505609</v>
      </c>
      <c r="C51" s="31">
        <v>1230031</v>
      </c>
      <c r="D51" s="28" t="s">
        <v>138</v>
      </c>
      <c r="E51" s="28" t="s">
        <v>139</v>
      </c>
      <c r="F51" s="28"/>
      <c r="G51" s="28" t="s">
        <v>8</v>
      </c>
      <c r="H51" s="28" t="s">
        <v>157</v>
      </c>
      <c r="I51" s="28" t="s">
        <v>187</v>
      </c>
      <c r="J51" s="28"/>
      <c r="K51" s="28"/>
      <c r="L51" s="21" t="s">
        <v>168</v>
      </c>
      <c r="M51" s="28" t="s">
        <v>218</v>
      </c>
      <c r="N51" s="32" t="s">
        <v>140</v>
      </c>
      <c r="O51" s="28">
        <v>8349</v>
      </c>
      <c r="P51" s="33" t="s">
        <v>16</v>
      </c>
      <c r="Q51" s="34">
        <v>45549</v>
      </c>
      <c r="R51" s="34">
        <v>45581</v>
      </c>
      <c r="S51" s="34">
        <v>45586</v>
      </c>
      <c r="T51" s="28" t="s">
        <v>199</v>
      </c>
      <c r="U51" s="28" t="s">
        <v>198</v>
      </c>
    </row>
    <row r="52" spans="1:21" ht="20.100000000000001" customHeight="1" x14ac:dyDescent="0.2">
      <c r="A52" s="83">
        <v>51</v>
      </c>
      <c r="B52" s="31">
        <v>1612229</v>
      </c>
      <c r="C52" s="31">
        <v>1254076</v>
      </c>
      <c r="D52" s="28" t="s">
        <v>118</v>
      </c>
      <c r="E52" s="28" t="s">
        <v>62</v>
      </c>
      <c r="F52" s="28"/>
      <c r="G52" s="28" t="s">
        <v>8</v>
      </c>
      <c r="H52" s="28" t="s">
        <v>157</v>
      </c>
      <c r="I52" s="41" t="s">
        <v>188</v>
      </c>
      <c r="J52" s="41"/>
      <c r="K52" s="41"/>
      <c r="L52" s="21" t="s">
        <v>168</v>
      </c>
      <c r="M52" s="41" t="s">
        <v>336</v>
      </c>
      <c r="N52" s="32" t="s">
        <v>27</v>
      </c>
      <c r="O52" s="41">
        <v>7849</v>
      </c>
      <c r="P52" s="43" t="s">
        <v>16</v>
      </c>
      <c r="Q52" s="44">
        <v>45549</v>
      </c>
      <c r="R52" s="44">
        <v>45594</v>
      </c>
      <c r="S52" s="44">
        <v>45595</v>
      </c>
      <c r="T52" s="28" t="s">
        <v>199</v>
      </c>
      <c r="U52" s="28" t="s">
        <v>198</v>
      </c>
    </row>
    <row r="53" spans="1:21" ht="20.100000000000001" customHeight="1" x14ac:dyDescent="0.2">
      <c r="A53" s="83">
        <v>52</v>
      </c>
      <c r="B53" s="31">
        <v>1673771</v>
      </c>
      <c r="C53" s="31">
        <v>1269559</v>
      </c>
      <c r="D53" s="28" t="s">
        <v>119</v>
      </c>
      <c r="E53" s="41" t="s">
        <v>39</v>
      </c>
      <c r="F53" s="28"/>
      <c r="G53" s="28" t="s">
        <v>8</v>
      </c>
      <c r="H53" s="41" t="s">
        <v>150</v>
      </c>
      <c r="I53" s="41" t="s">
        <v>151</v>
      </c>
      <c r="J53" s="41"/>
      <c r="K53" s="41"/>
      <c r="L53" s="28" t="s">
        <v>168</v>
      </c>
      <c r="M53" s="28" t="s">
        <v>168</v>
      </c>
      <c r="N53" s="42" t="s">
        <v>120</v>
      </c>
      <c r="O53" s="41">
        <v>9399</v>
      </c>
      <c r="P53" s="43" t="s">
        <v>115</v>
      </c>
      <c r="Q53" s="44">
        <v>45549</v>
      </c>
      <c r="R53" s="44">
        <v>45594</v>
      </c>
      <c r="S53" s="44">
        <v>45580</v>
      </c>
      <c r="T53" s="28" t="s">
        <v>199</v>
      </c>
      <c r="U53" s="28" t="s">
        <v>198</v>
      </c>
    </row>
    <row r="54" spans="1:21" ht="20.100000000000001" customHeight="1" x14ac:dyDescent="0.2">
      <c r="A54" s="83">
        <v>53</v>
      </c>
      <c r="B54" s="31">
        <v>1667352</v>
      </c>
      <c r="C54" s="31">
        <v>1267819</v>
      </c>
      <c r="D54" s="28" t="s">
        <v>121</v>
      </c>
      <c r="E54" s="28" t="s">
        <v>122</v>
      </c>
      <c r="F54" s="28"/>
      <c r="G54" s="28" t="s">
        <v>8</v>
      </c>
      <c r="H54" s="41" t="s">
        <v>150</v>
      </c>
      <c r="I54" s="28" t="s">
        <v>153</v>
      </c>
      <c r="J54" s="28" t="s">
        <v>156</v>
      </c>
      <c r="K54" s="41">
        <v>140</v>
      </c>
      <c r="L54" s="41" t="s">
        <v>168</v>
      </c>
      <c r="M54" s="41" t="s">
        <v>218</v>
      </c>
      <c r="N54" s="32" t="s">
        <v>123</v>
      </c>
      <c r="O54" s="41">
        <v>11817</v>
      </c>
      <c r="P54" s="43" t="s">
        <v>115</v>
      </c>
      <c r="Q54" s="44">
        <v>45549</v>
      </c>
      <c r="R54" s="44">
        <v>45594</v>
      </c>
      <c r="S54" s="34">
        <v>45580</v>
      </c>
      <c r="T54" s="28" t="s">
        <v>199</v>
      </c>
      <c r="U54" s="28" t="s">
        <v>198</v>
      </c>
    </row>
    <row r="55" spans="1:21" ht="20.100000000000001" customHeight="1" x14ac:dyDescent="0.2">
      <c r="A55" s="83">
        <v>54</v>
      </c>
      <c r="B55" s="31">
        <v>1649781</v>
      </c>
      <c r="C55" s="31">
        <v>1263160</v>
      </c>
      <c r="D55" s="28" t="s">
        <v>124</v>
      </c>
      <c r="E55" s="28" t="s">
        <v>88</v>
      </c>
      <c r="F55" s="28"/>
      <c r="G55" s="28" t="s">
        <v>8</v>
      </c>
      <c r="H55" s="28" t="s">
        <v>157</v>
      </c>
      <c r="I55" s="28" t="s">
        <v>189</v>
      </c>
      <c r="J55" s="41"/>
      <c r="K55" s="41"/>
      <c r="L55" s="21" t="s">
        <v>168</v>
      </c>
      <c r="M55" s="41" t="s">
        <v>335</v>
      </c>
      <c r="N55" s="32" t="s">
        <v>125</v>
      </c>
      <c r="O55" s="41">
        <v>8349</v>
      </c>
      <c r="P55" s="43" t="s">
        <v>115</v>
      </c>
      <c r="Q55" s="44">
        <v>45549</v>
      </c>
      <c r="R55" s="44">
        <v>45594</v>
      </c>
      <c r="S55" s="34">
        <v>45584</v>
      </c>
      <c r="T55" s="28" t="s">
        <v>199</v>
      </c>
      <c r="U55" s="28" t="s">
        <v>198</v>
      </c>
    </row>
    <row r="56" spans="1:21" ht="20.100000000000001" customHeight="1" x14ac:dyDescent="0.2">
      <c r="A56" s="81">
        <v>55</v>
      </c>
      <c r="B56" s="14">
        <v>1681476</v>
      </c>
      <c r="C56" s="14">
        <v>1271813</v>
      </c>
      <c r="D56" s="8" t="s">
        <v>128</v>
      </c>
      <c r="E56" s="8" t="s">
        <v>129</v>
      </c>
      <c r="F56" s="8"/>
      <c r="G56" s="8" t="s">
        <v>8</v>
      </c>
      <c r="H56" s="35" t="s">
        <v>150</v>
      </c>
      <c r="I56" s="8" t="s">
        <v>153</v>
      </c>
      <c r="J56" s="8" t="s">
        <v>177</v>
      </c>
      <c r="K56" s="35">
        <v>120</v>
      </c>
      <c r="L56" s="35" t="s">
        <v>167</v>
      </c>
      <c r="M56" s="35" t="s">
        <v>207</v>
      </c>
      <c r="N56" s="6" t="s">
        <v>130</v>
      </c>
      <c r="O56" s="8">
        <v>17886</v>
      </c>
      <c r="P56" s="16" t="s">
        <v>115</v>
      </c>
      <c r="Q56" s="17">
        <v>45549</v>
      </c>
      <c r="R56" s="36">
        <v>45594</v>
      </c>
      <c r="S56" s="8"/>
      <c r="T56" s="7" t="s">
        <v>337</v>
      </c>
      <c r="U56" s="8" t="s">
        <v>193</v>
      </c>
    </row>
    <row r="57" spans="1:21" ht="20.100000000000001" customHeight="1" x14ac:dyDescent="0.2">
      <c r="A57" s="81">
        <v>56</v>
      </c>
      <c r="B57" s="14">
        <v>1681477</v>
      </c>
      <c r="C57" s="14">
        <v>1271813</v>
      </c>
      <c r="D57" s="8" t="s">
        <v>128</v>
      </c>
      <c r="E57" s="8" t="s">
        <v>129</v>
      </c>
      <c r="F57" s="8"/>
      <c r="G57" s="8" t="s">
        <v>8</v>
      </c>
      <c r="H57" s="35" t="s">
        <v>150</v>
      </c>
      <c r="I57" s="8" t="s">
        <v>153</v>
      </c>
      <c r="J57" s="8" t="s">
        <v>177</v>
      </c>
      <c r="K57" s="35">
        <v>120</v>
      </c>
      <c r="L57" s="35" t="s">
        <v>167</v>
      </c>
      <c r="M57" s="35" t="s">
        <v>168</v>
      </c>
      <c r="N57" s="6" t="s">
        <v>130</v>
      </c>
      <c r="O57" s="8">
        <v>17886</v>
      </c>
      <c r="P57" s="16" t="s">
        <v>115</v>
      </c>
      <c r="Q57" s="17">
        <v>45549</v>
      </c>
      <c r="R57" s="36">
        <v>45594</v>
      </c>
      <c r="S57" s="8"/>
      <c r="T57" s="7" t="s">
        <v>337</v>
      </c>
      <c r="U57" s="8" t="s">
        <v>193</v>
      </c>
    </row>
    <row r="58" spans="1:21" ht="20.100000000000001" customHeight="1" x14ac:dyDescent="0.2">
      <c r="A58" s="83">
        <v>57</v>
      </c>
      <c r="B58" s="31">
        <v>1677530</v>
      </c>
      <c r="C58" s="31">
        <v>1270704</v>
      </c>
      <c r="D58" s="28" t="s">
        <v>131</v>
      </c>
      <c r="E58" s="28" t="s">
        <v>67</v>
      </c>
      <c r="F58" s="28"/>
      <c r="G58" s="28" t="s">
        <v>8</v>
      </c>
      <c r="H58" s="41" t="s">
        <v>150</v>
      </c>
      <c r="I58" s="28" t="s">
        <v>153</v>
      </c>
      <c r="J58" s="28" t="s">
        <v>156</v>
      </c>
      <c r="K58" s="41">
        <v>120</v>
      </c>
      <c r="L58" s="41" t="s">
        <v>167</v>
      </c>
      <c r="M58" s="41" t="s">
        <v>168</v>
      </c>
      <c r="N58" s="32" t="s">
        <v>132</v>
      </c>
      <c r="O58" s="41">
        <v>10987</v>
      </c>
      <c r="P58" s="33" t="s">
        <v>16</v>
      </c>
      <c r="Q58" s="34">
        <v>45549</v>
      </c>
      <c r="R58" s="44">
        <v>45594</v>
      </c>
      <c r="S58" s="34">
        <v>45578</v>
      </c>
      <c r="T58" s="28" t="s">
        <v>199</v>
      </c>
      <c r="U58" s="28" t="s">
        <v>198</v>
      </c>
    </row>
    <row r="59" spans="1:21" ht="20.100000000000001" customHeight="1" x14ac:dyDescent="0.2">
      <c r="A59" s="83">
        <v>58</v>
      </c>
      <c r="B59" s="31">
        <v>1677528</v>
      </c>
      <c r="C59" s="31">
        <v>1270704</v>
      </c>
      <c r="D59" s="28" t="s">
        <v>131</v>
      </c>
      <c r="E59" s="28" t="s">
        <v>67</v>
      </c>
      <c r="F59" s="28"/>
      <c r="G59" s="28" t="s">
        <v>8</v>
      </c>
      <c r="H59" s="41" t="s">
        <v>150</v>
      </c>
      <c r="I59" s="28" t="s">
        <v>153</v>
      </c>
      <c r="J59" s="28" t="s">
        <v>156</v>
      </c>
      <c r="K59" s="41">
        <v>120</v>
      </c>
      <c r="L59" s="41" t="s">
        <v>167</v>
      </c>
      <c r="M59" s="41" t="s">
        <v>168</v>
      </c>
      <c r="N59" s="32" t="s">
        <v>132</v>
      </c>
      <c r="O59" s="41">
        <v>10987</v>
      </c>
      <c r="P59" s="33" t="s">
        <v>16</v>
      </c>
      <c r="Q59" s="34">
        <v>45549</v>
      </c>
      <c r="R59" s="44">
        <v>45594</v>
      </c>
      <c r="S59" s="34">
        <v>45578</v>
      </c>
      <c r="T59" s="28" t="s">
        <v>199</v>
      </c>
      <c r="U59" s="28" t="s">
        <v>198</v>
      </c>
    </row>
    <row r="60" spans="1:21" ht="20.100000000000001" customHeight="1" x14ac:dyDescent="0.2">
      <c r="A60" s="83">
        <v>59</v>
      </c>
      <c r="B60" s="31">
        <v>1657744</v>
      </c>
      <c r="C60" s="31">
        <v>1265268</v>
      </c>
      <c r="D60" s="28" t="s">
        <v>134</v>
      </c>
      <c r="E60" s="28" t="s">
        <v>135</v>
      </c>
      <c r="F60" s="28"/>
      <c r="G60" s="28" t="s">
        <v>8</v>
      </c>
      <c r="H60" s="28" t="s">
        <v>157</v>
      </c>
      <c r="I60" s="28" t="s">
        <v>187</v>
      </c>
      <c r="J60" s="28"/>
      <c r="K60" s="28"/>
      <c r="L60" s="21" t="s">
        <v>168</v>
      </c>
      <c r="M60" s="28" t="s">
        <v>218</v>
      </c>
      <c r="N60" s="32" t="s">
        <v>63</v>
      </c>
      <c r="O60" s="28">
        <v>10319</v>
      </c>
      <c r="P60" s="33" t="s">
        <v>16</v>
      </c>
      <c r="Q60" s="34">
        <v>45549</v>
      </c>
      <c r="R60" s="34">
        <v>45594</v>
      </c>
      <c r="S60" s="34">
        <v>45584</v>
      </c>
      <c r="T60" s="28" t="s">
        <v>199</v>
      </c>
      <c r="U60" s="28" t="s">
        <v>198</v>
      </c>
    </row>
    <row r="61" spans="1:21" ht="20.100000000000001" customHeight="1" x14ac:dyDescent="0.2">
      <c r="A61" s="83">
        <v>60</v>
      </c>
      <c r="B61" s="31">
        <v>1610613</v>
      </c>
      <c r="C61" s="31">
        <v>1253646</v>
      </c>
      <c r="D61" s="28" t="s">
        <v>112</v>
      </c>
      <c r="E61" s="28" t="s">
        <v>113</v>
      </c>
      <c r="F61" s="28"/>
      <c r="G61" s="28" t="s">
        <v>8</v>
      </c>
      <c r="H61" s="41" t="s">
        <v>150</v>
      </c>
      <c r="I61" s="28" t="s">
        <v>165</v>
      </c>
      <c r="J61" s="28" t="s">
        <v>155</v>
      </c>
      <c r="K61" s="28">
        <v>120</v>
      </c>
      <c r="L61" s="28" t="s">
        <v>172</v>
      </c>
      <c r="M61" s="28"/>
      <c r="N61" s="32" t="s">
        <v>114</v>
      </c>
      <c r="O61" s="41">
        <v>12999</v>
      </c>
      <c r="P61" s="43" t="s">
        <v>115</v>
      </c>
      <c r="Q61" s="44">
        <v>45549</v>
      </c>
      <c r="R61" s="44">
        <v>45616</v>
      </c>
      <c r="S61" s="44">
        <v>45582</v>
      </c>
      <c r="T61" s="28" t="s">
        <v>28</v>
      </c>
      <c r="U61" s="28" t="s">
        <v>198</v>
      </c>
    </row>
    <row r="62" spans="1:21" ht="20.100000000000001" customHeight="1" x14ac:dyDescent="0.2">
      <c r="A62" s="82">
        <v>61</v>
      </c>
      <c r="B62" s="37">
        <v>1608468</v>
      </c>
      <c r="C62" s="37">
        <v>1253172</v>
      </c>
      <c r="D62" s="11" t="s">
        <v>116</v>
      </c>
      <c r="E62" s="11" t="s">
        <v>117</v>
      </c>
      <c r="F62" s="11"/>
      <c r="G62" s="11" t="s">
        <v>8</v>
      </c>
      <c r="H62" s="11" t="s">
        <v>161</v>
      </c>
      <c r="I62" s="11" t="s">
        <v>164</v>
      </c>
      <c r="J62" s="11"/>
      <c r="K62" s="11"/>
      <c r="L62" s="11" t="s">
        <v>168</v>
      </c>
      <c r="M62" s="11" t="s">
        <v>172</v>
      </c>
      <c r="N62" s="6" t="s">
        <v>103</v>
      </c>
      <c r="O62" s="11">
        <v>21999</v>
      </c>
      <c r="P62" s="45" t="s">
        <v>16</v>
      </c>
      <c r="Q62" s="46">
        <v>45549</v>
      </c>
      <c r="R62" s="40">
        <v>45616</v>
      </c>
      <c r="S62" s="40"/>
      <c r="T62" s="7" t="s">
        <v>337</v>
      </c>
      <c r="U62" s="8" t="s">
        <v>193</v>
      </c>
    </row>
    <row r="63" spans="1:21" ht="20.100000000000001" customHeight="1" x14ac:dyDescent="0.2">
      <c r="A63" s="83">
        <v>62</v>
      </c>
      <c r="B63" s="31">
        <v>1654554</v>
      </c>
      <c r="C63" s="31">
        <v>1264469</v>
      </c>
      <c r="D63" s="28" t="s">
        <v>126</v>
      </c>
      <c r="E63" s="28" t="s">
        <v>88</v>
      </c>
      <c r="F63" s="28"/>
      <c r="G63" s="28" t="s">
        <v>8</v>
      </c>
      <c r="H63" s="41" t="s">
        <v>150</v>
      </c>
      <c r="I63" s="28" t="s">
        <v>165</v>
      </c>
      <c r="J63" s="41" t="s">
        <v>152</v>
      </c>
      <c r="K63" s="41">
        <v>100</v>
      </c>
      <c r="L63" s="41" t="s">
        <v>172</v>
      </c>
      <c r="M63" s="41"/>
      <c r="N63" s="6" t="s">
        <v>127</v>
      </c>
      <c r="O63" s="41">
        <v>12399</v>
      </c>
      <c r="P63" s="33" t="s">
        <v>16</v>
      </c>
      <c r="Q63" s="44">
        <v>45549</v>
      </c>
      <c r="R63" s="44">
        <v>45616</v>
      </c>
      <c r="S63" s="34">
        <v>45566</v>
      </c>
      <c r="T63" s="41" t="s">
        <v>28</v>
      </c>
      <c r="U63" s="28" t="s">
        <v>198</v>
      </c>
    </row>
    <row r="64" spans="1:21" ht="20.100000000000001" customHeight="1" x14ac:dyDescent="0.2">
      <c r="A64" s="83">
        <v>63</v>
      </c>
      <c r="B64" s="31">
        <v>1644504</v>
      </c>
      <c r="C64" s="31">
        <v>1261644</v>
      </c>
      <c r="D64" s="28" t="s">
        <v>133</v>
      </c>
      <c r="E64" s="28" t="s">
        <v>67</v>
      </c>
      <c r="F64" s="28"/>
      <c r="G64" s="28" t="s">
        <v>8</v>
      </c>
      <c r="H64" s="41" t="s">
        <v>161</v>
      </c>
      <c r="I64" s="41" t="s">
        <v>164</v>
      </c>
      <c r="J64" s="41"/>
      <c r="K64" s="41"/>
      <c r="L64" s="28" t="s">
        <v>168</v>
      </c>
      <c r="M64" s="28" t="s">
        <v>172</v>
      </c>
      <c r="N64" s="32" t="s">
        <v>103</v>
      </c>
      <c r="O64" s="41">
        <v>21999</v>
      </c>
      <c r="P64" s="33" t="s">
        <v>16</v>
      </c>
      <c r="Q64" s="34">
        <v>45549</v>
      </c>
      <c r="R64" s="34">
        <v>45616</v>
      </c>
      <c r="S64" s="34">
        <v>45574</v>
      </c>
      <c r="T64" s="28" t="s">
        <v>199</v>
      </c>
      <c r="U64" s="50" t="s">
        <v>228</v>
      </c>
    </row>
    <row r="65" spans="1:21" ht="20.100000000000001" customHeight="1" x14ac:dyDescent="0.2">
      <c r="A65" s="83">
        <v>64</v>
      </c>
      <c r="B65" s="31">
        <v>1655447</v>
      </c>
      <c r="C65" s="31">
        <v>1264684</v>
      </c>
      <c r="D65" s="28" t="s">
        <v>136</v>
      </c>
      <c r="E65" s="28" t="s">
        <v>62</v>
      </c>
      <c r="F65" s="28"/>
      <c r="G65" s="28" t="s">
        <v>8</v>
      </c>
      <c r="H65" s="28" t="s">
        <v>150</v>
      </c>
      <c r="I65" s="28" t="s">
        <v>165</v>
      </c>
      <c r="J65" s="28" t="s">
        <v>152</v>
      </c>
      <c r="K65" s="28">
        <v>80</v>
      </c>
      <c r="L65" s="28" t="s">
        <v>167</v>
      </c>
      <c r="M65" s="28"/>
      <c r="N65" s="32" t="s">
        <v>137</v>
      </c>
      <c r="O65" s="28">
        <v>10999</v>
      </c>
      <c r="P65" s="33" t="s">
        <v>115</v>
      </c>
      <c r="Q65" s="34">
        <v>45549</v>
      </c>
      <c r="R65" s="34">
        <v>45616</v>
      </c>
      <c r="S65" s="34">
        <v>45581</v>
      </c>
      <c r="T65" s="28" t="s">
        <v>199</v>
      </c>
      <c r="U65" s="50" t="s">
        <v>228</v>
      </c>
    </row>
    <row r="66" spans="1:21" ht="20.100000000000001" customHeight="1" x14ac:dyDescent="0.2">
      <c r="A66" s="83">
        <v>65</v>
      </c>
      <c r="B66" s="31">
        <v>1679731</v>
      </c>
      <c r="C66" s="31">
        <v>1271291</v>
      </c>
      <c r="D66" s="52" t="s">
        <v>183</v>
      </c>
      <c r="E66" s="52" t="s">
        <v>184</v>
      </c>
      <c r="F66" s="28"/>
      <c r="G66" s="28" t="s">
        <v>8</v>
      </c>
      <c r="H66" s="28" t="s">
        <v>150</v>
      </c>
      <c r="I66" s="28" t="s">
        <v>165</v>
      </c>
      <c r="J66" s="28" t="s">
        <v>155</v>
      </c>
      <c r="K66" s="28">
        <v>80</v>
      </c>
      <c r="L66" s="28" t="s">
        <v>167</v>
      </c>
      <c r="M66" s="28"/>
      <c r="N66" s="32"/>
      <c r="O66" s="28">
        <v>10999</v>
      </c>
      <c r="P66" s="33" t="s">
        <v>115</v>
      </c>
      <c r="Q66" s="28" t="s">
        <v>195</v>
      </c>
      <c r="R66" s="34">
        <v>45616</v>
      </c>
      <c r="S66" s="34">
        <v>45581</v>
      </c>
      <c r="T66" s="28" t="s">
        <v>199</v>
      </c>
      <c r="U66" s="50" t="s">
        <v>228</v>
      </c>
    </row>
    <row r="67" spans="1:21" ht="20.100000000000001" customHeight="1" x14ac:dyDescent="0.2">
      <c r="A67" s="83">
        <v>66</v>
      </c>
      <c r="B67" s="31">
        <v>1679739</v>
      </c>
      <c r="C67" s="31">
        <v>1271291</v>
      </c>
      <c r="D67" s="52" t="s">
        <v>183</v>
      </c>
      <c r="E67" s="52" t="s">
        <v>184</v>
      </c>
      <c r="F67" s="28"/>
      <c r="G67" s="28" t="s">
        <v>8</v>
      </c>
      <c r="H67" s="28" t="s">
        <v>150</v>
      </c>
      <c r="I67" s="28" t="s">
        <v>165</v>
      </c>
      <c r="J67" s="28" t="s">
        <v>155</v>
      </c>
      <c r="K67" s="28">
        <v>80</v>
      </c>
      <c r="L67" s="28" t="s">
        <v>167</v>
      </c>
      <c r="M67" s="28"/>
      <c r="N67" s="32"/>
      <c r="O67" s="28">
        <v>10999</v>
      </c>
      <c r="P67" s="33" t="s">
        <v>115</v>
      </c>
      <c r="Q67" s="28" t="s">
        <v>195</v>
      </c>
      <c r="R67" s="34">
        <v>45616</v>
      </c>
      <c r="S67" s="34">
        <v>45581</v>
      </c>
      <c r="T67" s="28" t="s">
        <v>199</v>
      </c>
      <c r="U67" s="50" t="s">
        <v>228</v>
      </c>
    </row>
    <row r="68" spans="1:21" ht="20.100000000000001" customHeight="1" x14ac:dyDescent="0.2">
      <c r="A68" s="83">
        <v>67</v>
      </c>
      <c r="B68" s="31">
        <v>1670668</v>
      </c>
      <c r="C68" s="31">
        <v>1268695</v>
      </c>
      <c r="D68" s="52" t="s">
        <v>185</v>
      </c>
      <c r="E68" s="52" t="s">
        <v>186</v>
      </c>
      <c r="F68" s="28"/>
      <c r="G68" s="28" t="s">
        <v>8</v>
      </c>
      <c r="H68" s="28" t="s">
        <v>161</v>
      </c>
      <c r="I68" s="28" t="s">
        <v>164</v>
      </c>
      <c r="J68" s="28"/>
      <c r="K68" s="28"/>
      <c r="L68" s="28" t="s">
        <v>168</v>
      </c>
      <c r="M68" s="28" t="s">
        <v>172</v>
      </c>
      <c r="N68" s="32"/>
      <c r="O68" s="28">
        <v>21999</v>
      </c>
      <c r="P68" s="33" t="s">
        <v>115</v>
      </c>
      <c r="Q68" s="28" t="s">
        <v>195</v>
      </c>
      <c r="R68" s="34">
        <v>45616</v>
      </c>
      <c r="S68" s="34">
        <v>45584</v>
      </c>
      <c r="T68" s="28" t="s">
        <v>199</v>
      </c>
      <c r="U68" s="28" t="s">
        <v>228</v>
      </c>
    </row>
    <row r="69" spans="1:21" ht="20.100000000000001" customHeight="1" x14ac:dyDescent="0.25">
      <c r="A69" s="80">
        <v>68</v>
      </c>
      <c r="B69" s="29">
        <v>1416625</v>
      </c>
      <c r="C69" s="29">
        <v>1205197</v>
      </c>
      <c r="D69" s="20" t="s">
        <v>196</v>
      </c>
      <c r="E69" s="20" t="s">
        <v>144</v>
      </c>
      <c r="F69" s="20"/>
      <c r="G69" s="28" t="s">
        <v>8</v>
      </c>
      <c r="H69" s="28" t="s">
        <v>157</v>
      </c>
      <c r="I69" s="28" t="s">
        <v>187</v>
      </c>
      <c r="J69" s="20"/>
      <c r="K69" s="20"/>
      <c r="L69" s="21" t="s">
        <v>168</v>
      </c>
      <c r="M69" s="94" t="s">
        <v>218</v>
      </c>
      <c r="N69" s="21"/>
      <c r="O69" s="20">
        <v>7849</v>
      </c>
      <c r="P69" s="22">
        <v>6306</v>
      </c>
      <c r="Q69" s="28" t="s">
        <v>197</v>
      </c>
      <c r="R69" s="34">
        <v>45595</v>
      </c>
      <c r="S69" s="30">
        <v>45610</v>
      </c>
      <c r="T69" s="28" t="s">
        <v>28</v>
      </c>
      <c r="U69" s="28" t="s">
        <v>198</v>
      </c>
    </row>
    <row r="70" spans="1:21" ht="20.100000000000001" customHeight="1" x14ac:dyDescent="0.25">
      <c r="A70" s="32">
        <v>69</v>
      </c>
      <c r="B70" s="21"/>
      <c r="C70" s="21"/>
      <c r="D70" s="21" t="s">
        <v>83</v>
      </c>
      <c r="E70" s="21" t="s">
        <v>200</v>
      </c>
      <c r="F70" s="21"/>
      <c r="G70" s="21" t="s">
        <v>56</v>
      </c>
      <c r="H70" s="21" t="s">
        <v>150</v>
      </c>
      <c r="I70" s="21" t="s">
        <v>165</v>
      </c>
      <c r="J70" s="21" t="s">
        <v>155</v>
      </c>
      <c r="K70" s="21">
        <v>80</v>
      </c>
      <c r="L70" s="21" t="s">
        <v>167</v>
      </c>
      <c r="M70" s="21"/>
      <c r="N70" s="21"/>
      <c r="O70" s="21">
        <v>5074</v>
      </c>
      <c r="P70" s="24" t="s">
        <v>85</v>
      </c>
      <c r="Q70" s="26">
        <v>45556</v>
      </c>
      <c r="R70" s="26">
        <v>45570</v>
      </c>
      <c r="S70" s="26">
        <v>45577</v>
      </c>
      <c r="T70" s="28" t="s">
        <v>199</v>
      </c>
      <c r="U70" s="50" t="s">
        <v>228</v>
      </c>
    </row>
    <row r="71" spans="1:21" ht="20.100000000000001" customHeight="1" x14ac:dyDescent="0.25">
      <c r="A71" s="32">
        <v>70</v>
      </c>
      <c r="B71" s="21">
        <v>2514</v>
      </c>
      <c r="C71" s="21">
        <v>2514</v>
      </c>
      <c r="D71" s="21" t="s">
        <v>41</v>
      </c>
      <c r="E71" s="21" t="s">
        <v>42</v>
      </c>
      <c r="F71" s="21"/>
      <c r="G71" s="21" t="s">
        <v>43</v>
      </c>
      <c r="H71" s="21" t="s">
        <v>150</v>
      </c>
      <c r="I71" s="21" t="s">
        <v>165</v>
      </c>
      <c r="J71" s="21" t="s">
        <v>154</v>
      </c>
      <c r="K71" s="57">
        <v>100</v>
      </c>
      <c r="L71" s="21" t="s">
        <v>201</v>
      </c>
      <c r="M71" s="21"/>
      <c r="N71" s="21"/>
      <c r="O71" s="21">
        <v>6250</v>
      </c>
      <c r="P71" s="24" t="s">
        <v>85</v>
      </c>
      <c r="Q71" s="26">
        <v>45558</v>
      </c>
      <c r="R71" s="26">
        <v>45573</v>
      </c>
      <c r="S71" s="26">
        <v>45582</v>
      </c>
      <c r="T71" s="28" t="s">
        <v>199</v>
      </c>
      <c r="U71" s="50" t="s">
        <v>228</v>
      </c>
    </row>
    <row r="72" spans="1:21" ht="20.100000000000001" customHeight="1" x14ac:dyDescent="0.25">
      <c r="A72" s="32">
        <v>71</v>
      </c>
      <c r="B72" s="21">
        <v>2514</v>
      </c>
      <c r="C72" s="21">
        <v>2514</v>
      </c>
      <c r="D72" s="21" t="s">
        <v>41</v>
      </c>
      <c r="E72" s="21" t="s">
        <v>42</v>
      </c>
      <c r="F72" s="21"/>
      <c r="G72" s="21" t="s">
        <v>43</v>
      </c>
      <c r="H72" s="21" t="s">
        <v>150</v>
      </c>
      <c r="I72" s="21" t="s">
        <v>165</v>
      </c>
      <c r="J72" s="21" t="s">
        <v>154</v>
      </c>
      <c r="K72" s="57">
        <v>100</v>
      </c>
      <c r="L72" s="21" t="s">
        <v>201</v>
      </c>
      <c r="M72" s="21"/>
      <c r="N72" s="21"/>
      <c r="O72" s="21">
        <v>6250</v>
      </c>
      <c r="P72" s="24" t="s">
        <v>85</v>
      </c>
      <c r="Q72" s="26">
        <v>45558</v>
      </c>
      <c r="R72" s="26">
        <v>45573</v>
      </c>
      <c r="S72" s="26">
        <v>45582</v>
      </c>
      <c r="T72" s="28" t="s">
        <v>199</v>
      </c>
      <c r="U72" s="50" t="s">
        <v>228</v>
      </c>
    </row>
    <row r="73" spans="1:21" ht="20.100000000000001" customHeight="1" x14ac:dyDescent="0.25">
      <c r="A73" s="32">
        <v>72</v>
      </c>
      <c r="B73" s="21">
        <v>1706794</v>
      </c>
      <c r="C73" s="21">
        <v>1281428</v>
      </c>
      <c r="D73" s="21" t="s">
        <v>202</v>
      </c>
      <c r="E73" s="21" t="s">
        <v>42</v>
      </c>
      <c r="F73" s="21"/>
      <c r="G73" s="21" t="s">
        <v>8</v>
      </c>
      <c r="H73" s="21" t="s">
        <v>150</v>
      </c>
      <c r="I73" s="21" t="s">
        <v>153</v>
      </c>
      <c r="J73" s="21" t="s">
        <v>177</v>
      </c>
      <c r="K73" s="21">
        <v>120</v>
      </c>
      <c r="L73" s="21" t="s">
        <v>167</v>
      </c>
      <c r="M73" s="21" t="s">
        <v>168</v>
      </c>
      <c r="N73" s="21"/>
      <c r="O73" s="21">
        <v>8943</v>
      </c>
      <c r="P73" s="24">
        <v>9033</v>
      </c>
      <c r="Q73" s="26">
        <v>45561</v>
      </c>
      <c r="R73" s="26">
        <v>45606</v>
      </c>
      <c r="S73" s="26">
        <v>45575</v>
      </c>
      <c r="T73" s="28" t="s">
        <v>199</v>
      </c>
      <c r="U73" s="50" t="s">
        <v>228</v>
      </c>
    </row>
    <row r="74" spans="1:21" ht="20.100000000000001" customHeight="1" x14ac:dyDescent="0.25">
      <c r="A74" s="38">
        <v>73</v>
      </c>
      <c r="B74" s="10">
        <v>1704621</v>
      </c>
      <c r="C74" s="10">
        <v>1280197</v>
      </c>
      <c r="D74" s="10" t="s">
        <v>203</v>
      </c>
      <c r="E74" s="10" t="s">
        <v>204</v>
      </c>
      <c r="F74" s="10"/>
      <c r="G74" s="10" t="s">
        <v>8</v>
      </c>
      <c r="H74" s="10" t="s">
        <v>157</v>
      </c>
      <c r="I74" s="10" t="s">
        <v>189</v>
      </c>
      <c r="J74" s="10"/>
      <c r="K74" s="10"/>
      <c r="L74" s="11" t="s">
        <v>168</v>
      </c>
      <c r="M74" s="11" t="s">
        <v>335</v>
      </c>
      <c r="N74" s="5"/>
      <c r="O74" s="10">
        <v>8349</v>
      </c>
      <c r="P74" s="12">
        <v>8433</v>
      </c>
      <c r="Q74" s="27">
        <v>45561</v>
      </c>
      <c r="R74" s="27">
        <v>45606</v>
      </c>
      <c r="S74" s="10"/>
      <c r="T74" s="7" t="s">
        <v>337</v>
      </c>
      <c r="U74" s="8" t="s">
        <v>193</v>
      </c>
    </row>
    <row r="75" spans="1:21" ht="20.100000000000001" customHeight="1" x14ac:dyDescent="0.25">
      <c r="A75" s="32">
        <v>74</v>
      </c>
      <c r="B75" s="21">
        <v>240078066</v>
      </c>
      <c r="C75" s="21"/>
      <c r="D75" s="21" t="s">
        <v>31</v>
      </c>
      <c r="E75" s="21" t="s">
        <v>230</v>
      </c>
      <c r="F75" s="21"/>
      <c r="G75" s="21" t="s">
        <v>52</v>
      </c>
      <c r="H75" s="21" t="s">
        <v>205</v>
      </c>
      <c r="I75" s="21" t="s">
        <v>206</v>
      </c>
      <c r="J75" s="21"/>
      <c r="K75" s="21"/>
      <c r="L75" s="21" t="s">
        <v>168</v>
      </c>
      <c r="M75" s="21" t="s">
        <v>220</v>
      </c>
      <c r="N75" s="21"/>
      <c r="O75" s="21">
        <v>14950</v>
      </c>
      <c r="P75" s="24" t="s">
        <v>16</v>
      </c>
      <c r="Q75" s="26">
        <v>45561</v>
      </c>
      <c r="R75" s="26">
        <v>45579</v>
      </c>
      <c r="S75" s="34">
        <v>45578</v>
      </c>
      <c r="T75" s="28" t="s">
        <v>199</v>
      </c>
      <c r="U75" s="28" t="s">
        <v>198</v>
      </c>
    </row>
    <row r="76" spans="1:21" ht="20.100000000000001" customHeight="1" x14ac:dyDescent="0.2">
      <c r="A76" s="15">
        <v>75</v>
      </c>
      <c r="B76" s="48">
        <v>240077789</v>
      </c>
      <c r="C76" s="7"/>
      <c r="D76" s="7" t="s">
        <v>31</v>
      </c>
      <c r="E76" s="7"/>
      <c r="F76" s="7"/>
      <c r="G76" s="7" t="s">
        <v>52</v>
      </c>
      <c r="H76" s="7" t="s">
        <v>150</v>
      </c>
      <c r="I76" s="7" t="s">
        <v>165</v>
      </c>
      <c r="J76" s="7" t="s">
        <v>154</v>
      </c>
      <c r="K76" s="7">
        <v>100</v>
      </c>
      <c r="L76" s="7" t="s">
        <v>207</v>
      </c>
      <c r="M76" s="7"/>
      <c r="N76" s="7"/>
      <c r="O76" s="7">
        <v>9208</v>
      </c>
      <c r="P76" s="9">
        <v>9608</v>
      </c>
      <c r="Q76" s="13">
        <v>45561</v>
      </c>
      <c r="R76" s="13">
        <v>45579</v>
      </c>
      <c r="S76" s="7"/>
      <c r="T76" s="7" t="s">
        <v>337</v>
      </c>
      <c r="U76" s="8" t="s">
        <v>223</v>
      </c>
    </row>
    <row r="77" spans="1:21" ht="20.100000000000001" customHeight="1" x14ac:dyDescent="0.2">
      <c r="A77" s="32">
        <v>76</v>
      </c>
      <c r="B77" s="55">
        <v>240078390</v>
      </c>
      <c r="C77" s="21"/>
      <c r="D77" s="21" t="s">
        <v>31</v>
      </c>
      <c r="E77" s="21"/>
      <c r="F77" s="21"/>
      <c r="G77" s="21" t="s">
        <v>52</v>
      </c>
      <c r="H77" s="21" t="s">
        <v>150</v>
      </c>
      <c r="I77" s="21" t="s">
        <v>153</v>
      </c>
      <c r="J77" s="21" t="s">
        <v>156</v>
      </c>
      <c r="K77" s="21">
        <v>120</v>
      </c>
      <c r="L77" s="21" t="s">
        <v>167</v>
      </c>
      <c r="M77" s="21" t="s">
        <v>168</v>
      </c>
      <c r="N77" s="21"/>
      <c r="O77" s="21">
        <v>7433</v>
      </c>
      <c r="P77" s="24" t="s">
        <v>16</v>
      </c>
      <c r="Q77" s="26">
        <v>45564</v>
      </c>
      <c r="R77" s="26">
        <v>45585</v>
      </c>
      <c r="S77" s="34">
        <v>45586</v>
      </c>
      <c r="T77" s="28" t="s">
        <v>199</v>
      </c>
      <c r="U77" s="28" t="s">
        <v>198</v>
      </c>
    </row>
    <row r="78" spans="1:21" ht="20.100000000000001" customHeight="1" x14ac:dyDescent="0.25">
      <c r="A78" s="32">
        <v>77</v>
      </c>
      <c r="B78" s="21"/>
      <c r="C78" s="21"/>
      <c r="D78" s="21" t="s">
        <v>83</v>
      </c>
      <c r="E78" s="21" t="s">
        <v>200</v>
      </c>
      <c r="F78" s="21"/>
      <c r="G78" s="21" t="s">
        <v>56</v>
      </c>
      <c r="H78" s="21" t="s">
        <v>150</v>
      </c>
      <c r="I78" s="21" t="s">
        <v>153</v>
      </c>
      <c r="J78" s="21" t="s">
        <v>177</v>
      </c>
      <c r="K78" s="21">
        <v>120</v>
      </c>
      <c r="L78" s="21" t="s">
        <v>167</v>
      </c>
      <c r="M78" s="21" t="s">
        <v>168</v>
      </c>
      <c r="N78" s="21"/>
      <c r="O78" s="21">
        <v>4020</v>
      </c>
      <c r="P78" s="24" t="s">
        <v>85</v>
      </c>
      <c r="Q78" s="26">
        <v>45564</v>
      </c>
      <c r="R78" s="26">
        <v>45577</v>
      </c>
      <c r="S78" s="26">
        <v>45577</v>
      </c>
      <c r="T78" s="28" t="s">
        <v>199</v>
      </c>
      <c r="U78" s="50" t="s">
        <v>228</v>
      </c>
    </row>
    <row r="79" spans="1:21" ht="20.100000000000001" customHeight="1" x14ac:dyDescent="0.25">
      <c r="A79" s="32">
        <v>78</v>
      </c>
      <c r="B79" s="21"/>
      <c r="C79" s="21"/>
      <c r="D79" s="21" t="s">
        <v>210</v>
      </c>
      <c r="E79" s="21" t="s">
        <v>211</v>
      </c>
      <c r="F79" s="21"/>
      <c r="G79" s="21" t="s">
        <v>212</v>
      </c>
      <c r="H79" s="21" t="s">
        <v>150</v>
      </c>
      <c r="I79" s="21" t="s">
        <v>165</v>
      </c>
      <c r="J79" s="21" t="s">
        <v>213</v>
      </c>
      <c r="K79" s="21">
        <v>100</v>
      </c>
      <c r="L79" s="21" t="s">
        <v>214</v>
      </c>
      <c r="M79" s="21"/>
      <c r="N79" s="21"/>
      <c r="O79" s="21">
        <v>8544.9054400000005</v>
      </c>
      <c r="P79" s="24"/>
      <c r="Q79" s="26">
        <v>45566</v>
      </c>
      <c r="R79" s="26">
        <v>45574</v>
      </c>
      <c r="S79" s="26">
        <v>45574</v>
      </c>
      <c r="T79" s="21" t="s">
        <v>227</v>
      </c>
      <c r="U79" s="28" t="s">
        <v>198</v>
      </c>
    </row>
    <row r="80" spans="1:21" ht="20.100000000000001" customHeight="1" x14ac:dyDescent="0.35">
      <c r="A80" s="32">
        <v>79</v>
      </c>
      <c r="B80" s="21"/>
      <c r="C80" s="21"/>
      <c r="D80" s="21" t="s">
        <v>210</v>
      </c>
      <c r="E80" s="21" t="s">
        <v>211</v>
      </c>
      <c r="F80" s="21"/>
      <c r="G80" s="21" t="s">
        <v>212</v>
      </c>
      <c r="H80" s="21" t="s">
        <v>150</v>
      </c>
      <c r="I80" s="21" t="s">
        <v>151</v>
      </c>
      <c r="J80" s="21"/>
      <c r="K80" s="21"/>
      <c r="L80" s="21" t="s">
        <v>217</v>
      </c>
      <c r="M80" s="21" t="s">
        <v>218</v>
      </c>
      <c r="N80" s="21"/>
      <c r="O80" s="49">
        <v>4600</v>
      </c>
      <c r="P80" s="24"/>
      <c r="Q80" s="26">
        <v>45566</v>
      </c>
      <c r="R80" s="26">
        <v>45574</v>
      </c>
      <c r="S80" s="26">
        <v>45574</v>
      </c>
      <c r="T80" s="21" t="s">
        <v>227</v>
      </c>
      <c r="U80" s="28" t="s">
        <v>198</v>
      </c>
    </row>
    <row r="81" spans="1:21" ht="20.100000000000001" customHeight="1" x14ac:dyDescent="0.25">
      <c r="A81" s="32">
        <v>80</v>
      </c>
      <c r="B81" s="21"/>
      <c r="C81" s="21"/>
      <c r="D81" s="21" t="s">
        <v>210</v>
      </c>
      <c r="E81" s="21" t="s">
        <v>211</v>
      </c>
      <c r="F81" s="21"/>
      <c r="G81" s="21" t="s">
        <v>212</v>
      </c>
      <c r="H81" s="21" t="s">
        <v>205</v>
      </c>
      <c r="I81" s="21" t="s">
        <v>215</v>
      </c>
      <c r="J81" s="21"/>
      <c r="K81" s="21"/>
      <c r="L81" s="21" t="s">
        <v>168</v>
      </c>
      <c r="M81" s="21" t="s">
        <v>216</v>
      </c>
      <c r="N81" s="21"/>
      <c r="O81" s="21">
        <v>10000</v>
      </c>
      <c r="P81" s="24"/>
      <c r="Q81" s="26">
        <v>45566</v>
      </c>
      <c r="R81" s="26">
        <v>45574</v>
      </c>
      <c r="S81" s="26">
        <v>45574</v>
      </c>
      <c r="T81" s="21" t="s">
        <v>227</v>
      </c>
      <c r="U81" s="28" t="s">
        <v>198</v>
      </c>
    </row>
    <row r="82" spans="1:21" ht="20.100000000000001" customHeight="1" x14ac:dyDescent="0.25">
      <c r="A82" s="32">
        <v>81</v>
      </c>
      <c r="B82" s="21"/>
      <c r="C82" s="21"/>
      <c r="D82" s="21" t="s">
        <v>210</v>
      </c>
      <c r="E82" s="21" t="s">
        <v>211</v>
      </c>
      <c r="F82" s="21"/>
      <c r="G82" s="21" t="s">
        <v>212</v>
      </c>
      <c r="H82" s="21" t="s">
        <v>219</v>
      </c>
      <c r="I82" s="21"/>
      <c r="J82" s="21"/>
      <c r="K82" s="21"/>
      <c r="L82" s="21" t="s">
        <v>168</v>
      </c>
      <c r="M82" s="21" t="s">
        <v>220</v>
      </c>
      <c r="N82" s="21"/>
      <c r="O82" s="21"/>
      <c r="P82" s="24"/>
      <c r="Q82" s="26">
        <v>45566</v>
      </c>
      <c r="R82" s="26">
        <v>45574</v>
      </c>
      <c r="S82" s="26">
        <v>45574</v>
      </c>
      <c r="T82" s="21" t="s">
        <v>227</v>
      </c>
      <c r="U82" s="28" t="s">
        <v>198</v>
      </c>
    </row>
    <row r="83" spans="1:21" ht="20.100000000000001" customHeight="1" x14ac:dyDescent="0.25">
      <c r="A83" s="15">
        <v>82</v>
      </c>
      <c r="B83" s="7">
        <v>1282228</v>
      </c>
      <c r="C83" s="7">
        <v>1708226</v>
      </c>
      <c r="D83" s="7" t="s">
        <v>221</v>
      </c>
      <c r="E83" s="7" t="s">
        <v>222</v>
      </c>
      <c r="F83" s="7"/>
      <c r="G83" s="7" t="s">
        <v>8</v>
      </c>
      <c r="H83" s="7" t="s">
        <v>150</v>
      </c>
      <c r="I83" s="7" t="s">
        <v>151</v>
      </c>
      <c r="J83" s="7"/>
      <c r="K83" s="7"/>
      <c r="L83" s="7" t="s">
        <v>168</v>
      </c>
      <c r="M83" s="7" t="s">
        <v>168</v>
      </c>
      <c r="N83" s="7"/>
      <c r="O83" s="7">
        <v>8899</v>
      </c>
      <c r="P83" s="9">
        <v>8988</v>
      </c>
      <c r="Q83" s="13">
        <v>45568</v>
      </c>
      <c r="R83" s="13">
        <v>45613</v>
      </c>
      <c r="S83" s="7"/>
      <c r="T83" s="8"/>
      <c r="U83" s="8"/>
    </row>
    <row r="84" spans="1:21" ht="20.100000000000001" customHeight="1" x14ac:dyDescent="0.2">
      <c r="A84" s="32">
        <v>83</v>
      </c>
      <c r="B84" s="51">
        <v>240079328</v>
      </c>
      <c r="C84" s="21"/>
      <c r="D84" s="21" t="s">
        <v>31</v>
      </c>
      <c r="E84" s="21" t="s">
        <v>224</v>
      </c>
      <c r="F84" s="21"/>
      <c r="G84" s="21" t="s">
        <v>31</v>
      </c>
      <c r="H84" s="21" t="s">
        <v>225</v>
      </c>
      <c r="I84" s="21" t="s">
        <v>206</v>
      </c>
      <c r="J84" s="21"/>
      <c r="K84" s="21"/>
      <c r="L84" s="21" t="s">
        <v>207</v>
      </c>
      <c r="M84" s="21" t="s">
        <v>226</v>
      </c>
      <c r="N84" s="21"/>
      <c r="O84" s="21">
        <v>14550</v>
      </c>
      <c r="P84" s="24" t="s">
        <v>16</v>
      </c>
      <c r="Q84" s="26">
        <v>45573</v>
      </c>
      <c r="R84" s="26">
        <v>45594</v>
      </c>
      <c r="S84" s="44">
        <v>45595</v>
      </c>
      <c r="T84" s="28" t="s">
        <v>199</v>
      </c>
      <c r="U84" s="28" t="s">
        <v>198</v>
      </c>
    </row>
    <row r="85" spans="1:21" ht="20.100000000000001" customHeight="1" x14ac:dyDescent="0.2">
      <c r="A85" s="32">
        <v>84</v>
      </c>
      <c r="B85" s="51">
        <v>240078933</v>
      </c>
      <c r="C85" s="21"/>
      <c r="D85" s="21" t="s">
        <v>31</v>
      </c>
      <c r="E85" s="21" t="s">
        <v>229</v>
      </c>
      <c r="F85" s="21"/>
      <c r="G85" s="21" t="s">
        <v>52</v>
      </c>
      <c r="H85" s="21" t="s">
        <v>161</v>
      </c>
      <c r="I85" s="21" t="s">
        <v>206</v>
      </c>
      <c r="J85" s="21"/>
      <c r="K85" s="21"/>
      <c r="L85" s="21" t="s">
        <v>207</v>
      </c>
      <c r="M85" s="21" t="s">
        <v>226</v>
      </c>
      <c r="N85" s="21"/>
      <c r="O85" s="21">
        <v>14550</v>
      </c>
      <c r="P85" s="24" t="s">
        <v>16</v>
      </c>
      <c r="Q85" s="26">
        <v>45572</v>
      </c>
      <c r="R85" s="26">
        <v>45594</v>
      </c>
      <c r="S85" s="34">
        <v>45580</v>
      </c>
      <c r="T85" s="28" t="s">
        <v>199</v>
      </c>
      <c r="U85" s="28" t="s">
        <v>198</v>
      </c>
    </row>
    <row r="86" spans="1:21" ht="20.100000000000001" customHeight="1" x14ac:dyDescent="0.25">
      <c r="A86" s="32">
        <v>85</v>
      </c>
      <c r="B86" s="21">
        <v>240079517</v>
      </c>
      <c r="C86" s="21"/>
      <c r="D86" s="21" t="s">
        <v>31</v>
      </c>
      <c r="E86" s="21"/>
      <c r="F86" s="21"/>
      <c r="G86" s="21" t="s">
        <v>31</v>
      </c>
      <c r="H86" s="21" t="s">
        <v>225</v>
      </c>
      <c r="I86" s="21" t="s">
        <v>206</v>
      </c>
      <c r="J86" s="21"/>
      <c r="K86" s="21"/>
      <c r="L86" s="21" t="s">
        <v>207</v>
      </c>
      <c r="M86" s="21" t="s">
        <v>220</v>
      </c>
      <c r="N86" s="21"/>
      <c r="O86" s="21">
        <v>14550</v>
      </c>
      <c r="P86" s="24">
        <v>11495</v>
      </c>
      <c r="Q86" s="26">
        <v>45575</v>
      </c>
      <c r="R86" s="26">
        <v>45596</v>
      </c>
      <c r="S86" s="26">
        <v>45598</v>
      </c>
      <c r="T86" s="28" t="s">
        <v>199</v>
      </c>
      <c r="U86" s="28" t="s">
        <v>198</v>
      </c>
    </row>
    <row r="87" spans="1:21" ht="20.100000000000001" customHeight="1" x14ac:dyDescent="0.25">
      <c r="A87" s="32">
        <v>86</v>
      </c>
      <c r="B87" s="21">
        <v>1714623</v>
      </c>
      <c r="C87" s="21">
        <v>1284697</v>
      </c>
      <c r="D87" s="21" t="s">
        <v>231</v>
      </c>
      <c r="E87" s="21" t="s">
        <v>102</v>
      </c>
      <c r="F87" s="21"/>
      <c r="G87" s="21" t="s">
        <v>8</v>
      </c>
      <c r="H87" s="21" t="s">
        <v>150</v>
      </c>
      <c r="I87" s="21" t="s">
        <v>165</v>
      </c>
      <c r="J87" s="21" t="s">
        <v>232</v>
      </c>
      <c r="K87" s="21" t="s">
        <v>233</v>
      </c>
      <c r="L87" s="21" t="s">
        <v>234</v>
      </c>
      <c r="M87" s="21"/>
      <c r="N87" s="21"/>
      <c r="O87" s="21">
        <v>12899</v>
      </c>
      <c r="P87" s="24">
        <v>13028</v>
      </c>
      <c r="Q87" s="26">
        <v>45578</v>
      </c>
      <c r="R87" s="26">
        <v>45643</v>
      </c>
      <c r="S87" s="26">
        <v>45598</v>
      </c>
      <c r="T87" s="28" t="s">
        <v>199</v>
      </c>
      <c r="U87" s="28" t="s">
        <v>198</v>
      </c>
    </row>
    <row r="88" spans="1:21" ht="20.100000000000001" customHeight="1" x14ac:dyDescent="0.25">
      <c r="A88" s="32">
        <v>87</v>
      </c>
      <c r="B88" s="56">
        <v>1715473</v>
      </c>
      <c r="C88" s="56">
        <v>1285152</v>
      </c>
      <c r="D88" s="21" t="s">
        <v>235</v>
      </c>
      <c r="E88" s="21" t="s">
        <v>49</v>
      </c>
      <c r="F88" s="21"/>
      <c r="G88" s="21" t="s">
        <v>8</v>
      </c>
      <c r="H88" s="21" t="s">
        <v>150</v>
      </c>
      <c r="I88" s="21" t="s">
        <v>165</v>
      </c>
      <c r="J88" s="21" t="s">
        <v>155</v>
      </c>
      <c r="K88" s="57">
        <v>80</v>
      </c>
      <c r="L88" s="21" t="s">
        <v>167</v>
      </c>
      <c r="M88" s="21"/>
      <c r="N88" s="21"/>
      <c r="O88" s="21">
        <v>10499</v>
      </c>
      <c r="P88" s="24" t="s">
        <v>16</v>
      </c>
      <c r="Q88" s="26">
        <v>45581</v>
      </c>
      <c r="R88" s="26">
        <v>45645</v>
      </c>
      <c r="S88" s="34">
        <v>45586</v>
      </c>
      <c r="T88" s="28" t="s">
        <v>199</v>
      </c>
      <c r="U88" s="28" t="s">
        <v>198</v>
      </c>
    </row>
    <row r="89" spans="1:21" ht="20.100000000000001" customHeight="1" x14ac:dyDescent="0.25">
      <c r="A89" s="32">
        <v>89</v>
      </c>
      <c r="B89" s="21">
        <v>1715992</v>
      </c>
      <c r="C89" s="21">
        <v>1285423</v>
      </c>
      <c r="D89" s="21" t="s">
        <v>237</v>
      </c>
      <c r="E89" s="21" t="s">
        <v>238</v>
      </c>
      <c r="F89" s="21"/>
      <c r="G89" s="21" t="s">
        <v>8</v>
      </c>
      <c r="H89" s="21" t="s">
        <v>150</v>
      </c>
      <c r="I89" s="21" t="s">
        <v>165</v>
      </c>
      <c r="J89" s="21" t="s">
        <v>152</v>
      </c>
      <c r="K89" s="21" t="s">
        <v>239</v>
      </c>
      <c r="L89" s="21" t="s">
        <v>234</v>
      </c>
      <c r="M89" s="21"/>
      <c r="N89" s="21"/>
      <c r="O89" s="21">
        <v>12899</v>
      </c>
      <c r="P89" s="24" t="s">
        <v>16</v>
      </c>
      <c r="Q89" s="26">
        <v>45582</v>
      </c>
      <c r="R89" s="26">
        <v>45648</v>
      </c>
      <c r="S89" s="26">
        <v>45629</v>
      </c>
      <c r="T89" s="28" t="s">
        <v>28</v>
      </c>
      <c r="U89" s="28" t="s">
        <v>228</v>
      </c>
    </row>
    <row r="90" spans="1:21" ht="20.100000000000001" customHeight="1" x14ac:dyDescent="0.25">
      <c r="A90" s="32">
        <v>90</v>
      </c>
      <c r="B90" s="21" t="s">
        <v>241</v>
      </c>
      <c r="C90" s="29"/>
      <c r="D90" s="21" t="s">
        <v>240</v>
      </c>
      <c r="E90" s="21" t="s">
        <v>242</v>
      </c>
      <c r="F90" s="21">
        <v>1211691428</v>
      </c>
      <c r="G90" s="21" t="s">
        <v>243</v>
      </c>
      <c r="H90" s="21" t="s">
        <v>150</v>
      </c>
      <c r="I90" s="21" t="s">
        <v>153</v>
      </c>
      <c r="J90" s="21" t="s">
        <v>244</v>
      </c>
      <c r="K90" s="21">
        <v>140</v>
      </c>
      <c r="L90" s="21" t="s">
        <v>220</v>
      </c>
      <c r="M90" s="21" t="s">
        <v>245</v>
      </c>
      <c r="N90" s="21"/>
      <c r="O90" s="21">
        <v>5135</v>
      </c>
      <c r="P90" s="24" t="s">
        <v>16</v>
      </c>
      <c r="Q90" s="26">
        <v>45585</v>
      </c>
      <c r="R90" s="26">
        <v>45613</v>
      </c>
      <c r="S90" s="26">
        <v>45610</v>
      </c>
      <c r="T90" s="28" t="s">
        <v>199</v>
      </c>
      <c r="U90" s="28" t="s">
        <v>198</v>
      </c>
    </row>
    <row r="91" spans="1:21" ht="20.100000000000001" customHeight="1" x14ac:dyDescent="0.25">
      <c r="A91" s="32">
        <v>91</v>
      </c>
      <c r="B91" s="21">
        <v>240080607</v>
      </c>
      <c r="C91" s="21"/>
      <c r="D91" s="21" t="s">
        <v>31</v>
      </c>
      <c r="E91" s="21" t="s">
        <v>204</v>
      </c>
      <c r="F91" s="21"/>
      <c r="G91" s="21" t="s">
        <v>52</v>
      </c>
      <c r="H91" s="21" t="s">
        <v>150</v>
      </c>
      <c r="I91" s="21" t="s">
        <v>165</v>
      </c>
      <c r="J91" s="21" t="s">
        <v>246</v>
      </c>
      <c r="K91" s="21">
        <v>100</v>
      </c>
      <c r="L91" s="21" t="s">
        <v>247</v>
      </c>
      <c r="M91" s="21"/>
      <c r="N91" s="21"/>
      <c r="O91" s="21">
        <v>12777.5</v>
      </c>
      <c r="P91" s="24">
        <v>11277.5</v>
      </c>
      <c r="Q91" s="26">
        <v>45587</v>
      </c>
      <c r="R91" s="26">
        <v>45608</v>
      </c>
      <c r="S91" s="26">
        <v>45614</v>
      </c>
      <c r="T91" s="28" t="s">
        <v>199</v>
      </c>
      <c r="U91" s="28" t="s">
        <v>198</v>
      </c>
    </row>
    <row r="92" spans="1:21" ht="20.100000000000001" customHeight="1" x14ac:dyDescent="0.25">
      <c r="A92" s="32">
        <v>92</v>
      </c>
      <c r="B92" s="21">
        <v>240080607</v>
      </c>
      <c r="C92" s="21"/>
      <c r="D92" s="21" t="s">
        <v>31</v>
      </c>
      <c r="E92" s="21" t="s">
        <v>204</v>
      </c>
      <c r="F92" s="21"/>
      <c r="G92" s="21" t="s">
        <v>52</v>
      </c>
      <c r="H92" s="21" t="s">
        <v>150</v>
      </c>
      <c r="I92" s="21" t="s">
        <v>165</v>
      </c>
      <c r="J92" s="21" t="s">
        <v>246</v>
      </c>
      <c r="K92" s="21">
        <v>100</v>
      </c>
      <c r="L92" s="21" t="s">
        <v>247</v>
      </c>
      <c r="M92" s="21"/>
      <c r="N92" s="21"/>
      <c r="O92" s="21">
        <v>12777.5</v>
      </c>
      <c r="P92" s="24">
        <v>11277.5</v>
      </c>
      <c r="Q92" s="26">
        <v>45587</v>
      </c>
      <c r="R92" s="26">
        <v>45608</v>
      </c>
      <c r="S92" s="26">
        <v>45614</v>
      </c>
      <c r="T92" s="28" t="s">
        <v>199</v>
      </c>
      <c r="U92" s="28" t="s">
        <v>198</v>
      </c>
    </row>
    <row r="93" spans="1:21" ht="20.100000000000001" customHeight="1" x14ac:dyDescent="0.25">
      <c r="A93" s="15">
        <v>93</v>
      </c>
      <c r="B93" s="7"/>
      <c r="C93" s="7"/>
      <c r="D93" s="7" t="s">
        <v>83</v>
      </c>
      <c r="E93" s="7" t="s">
        <v>248</v>
      </c>
      <c r="F93" s="7"/>
      <c r="G93" s="7" t="s">
        <v>56</v>
      </c>
      <c r="H93" s="7" t="s">
        <v>150</v>
      </c>
      <c r="I93" s="7" t="s">
        <v>165</v>
      </c>
      <c r="J93" s="7" t="s">
        <v>246</v>
      </c>
      <c r="K93" s="7">
        <v>100</v>
      </c>
      <c r="L93" s="7" t="s">
        <v>247</v>
      </c>
      <c r="M93" s="7"/>
      <c r="N93" s="7"/>
      <c r="O93" s="7">
        <v>8544.91</v>
      </c>
      <c r="P93" s="9" t="s">
        <v>85</v>
      </c>
      <c r="Q93" s="13">
        <v>45587</v>
      </c>
      <c r="R93" s="7" t="s">
        <v>249</v>
      </c>
      <c r="S93" s="7"/>
      <c r="T93" s="7" t="s">
        <v>337</v>
      </c>
      <c r="U93" s="8" t="s">
        <v>274</v>
      </c>
    </row>
    <row r="94" spans="1:21" ht="20.100000000000001" customHeight="1" x14ac:dyDescent="0.25">
      <c r="A94" s="32">
        <v>94</v>
      </c>
      <c r="B94" s="21">
        <v>1717458</v>
      </c>
      <c r="C94" s="21">
        <v>1286189</v>
      </c>
      <c r="D94" s="21" t="s">
        <v>250</v>
      </c>
      <c r="E94" s="21" t="s">
        <v>251</v>
      </c>
      <c r="F94" s="21"/>
      <c r="G94" s="21" t="s">
        <v>8</v>
      </c>
      <c r="H94" s="21" t="s">
        <v>150</v>
      </c>
      <c r="I94" s="21" t="s">
        <v>153</v>
      </c>
      <c r="J94" s="21" t="s">
        <v>177</v>
      </c>
      <c r="K94" s="21">
        <v>120</v>
      </c>
      <c r="L94" s="21" t="s">
        <v>167</v>
      </c>
      <c r="M94" s="21" t="s">
        <v>168</v>
      </c>
      <c r="N94" s="21"/>
      <c r="O94" s="21">
        <v>8943</v>
      </c>
      <c r="P94" s="24">
        <v>9007.01</v>
      </c>
      <c r="Q94" s="26">
        <v>45586</v>
      </c>
      <c r="R94" s="26">
        <v>45610</v>
      </c>
      <c r="S94" s="26">
        <v>45614</v>
      </c>
      <c r="T94" s="28" t="s">
        <v>199</v>
      </c>
      <c r="U94" s="28" t="s">
        <v>198</v>
      </c>
    </row>
    <row r="95" spans="1:21" ht="20.100000000000001" customHeight="1" x14ac:dyDescent="0.2">
      <c r="A95" s="32">
        <v>95</v>
      </c>
      <c r="B95" s="60">
        <v>240080858</v>
      </c>
      <c r="C95" s="21"/>
      <c r="D95" s="21" t="s">
        <v>31</v>
      </c>
      <c r="E95" s="21"/>
      <c r="F95" s="21"/>
      <c r="G95" s="21" t="s">
        <v>52</v>
      </c>
      <c r="H95" s="21" t="s">
        <v>205</v>
      </c>
      <c r="I95" s="21" t="s">
        <v>206</v>
      </c>
      <c r="J95" s="28"/>
      <c r="K95" s="21"/>
      <c r="L95" s="21" t="s">
        <v>168</v>
      </c>
      <c r="M95" s="21" t="s">
        <v>334</v>
      </c>
      <c r="N95" s="21"/>
      <c r="O95" s="21">
        <v>15516</v>
      </c>
      <c r="P95" s="24" t="s">
        <v>16</v>
      </c>
      <c r="Q95" s="26">
        <v>45589</v>
      </c>
      <c r="R95" s="26">
        <v>45610</v>
      </c>
      <c r="S95" s="44">
        <v>45595</v>
      </c>
      <c r="T95" s="28" t="s">
        <v>199</v>
      </c>
      <c r="U95" s="28" t="s">
        <v>198</v>
      </c>
    </row>
    <row r="96" spans="1:21" ht="20.100000000000001" customHeight="1" x14ac:dyDescent="0.2">
      <c r="A96" s="15">
        <v>96</v>
      </c>
      <c r="B96" s="61">
        <v>240081061</v>
      </c>
      <c r="C96" s="7"/>
      <c r="D96" s="7" t="s">
        <v>31</v>
      </c>
      <c r="E96" s="7"/>
      <c r="F96" s="7"/>
      <c r="G96" s="7" t="s">
        <v>52</v>
      </c>
      <c r="H96" s="7" t="s">
        <v>150</v>
      </c>
      <c r="I96" s="7" t="s">
        <v>165</v>
      </c>
      <c r="J96" s="7" t="s">
        <v>154</v>
      </c>
      <c r="K96" s="7">
        <v>100</v>
      </c>
      <c r="L96" s="7" t="s">
        <v>168</v>
      </c>
      <c r="M96" s="7"/>
      <c r="N96" s="7"/>
      <c r="O96" s="7">
        <v>10045</v>
      </c>
      <c r="P96" s="9">
        <v>8879</v>
      </c>
      <c r="Q96" s="13">
        <v>45591</v>
      </c>
      <c r="R96" s="13">
        <v>45612</v>
      </c>
      <c r="S96" s="13"/>
      <c r="T96" s="7" t="s">
        <v>337</v>
      </c>
      <c r="U96" s="8" t="s">
        <v>236</v>
      </c>
    </row>
    <row r="97" spans="1:21" ht="20.100000000000001" customHeight="1" x14ac:dyDescent="0.25">
      <c r="A97" s="32">
        <v>97</v>
      </c>
      <c r="B97" s="56">
        <v>1718948</v>
      </c>
      <c r="C97" s="56">
        <v>1286883</v>
      </c>
      <c r="D97" s="21" t="s">
        <v>131</v>
      </c>
      <c r="E97" s="21" t="s">
        <v>252</v>
      </c>
      <c r="F97" s="21"/>
      <c r="G97" s="21" t="s">
        <v>8</v>
      </c>
      <c r="H97" s="21" t="s">
        <v>150</v>
      </c>
      <c r="I97" s="21" t="s">
        <v>165</v>
      </c>
      <c r="J97" s="21" t="s">
        <v>154</v>
      </c>
      <c r="K97" s="21">
        <v>90</v>
      </c>
      <c r="L97" s="21" t="s">
        <v>168</v>
      </c>
      <c r="M97" s="21"/>
      <c r="N97" s="21"/>
      <c r="O97" s="21">
        <v>11649</v>
      </c>
      <c r="P97" s="24">
        <v>11749</v>
      </c>
      <c r="Q97" s="26">
        <v>45591</v>
      </c>
      <c r="R97" s="26">
        <v>45606</v>
      </c>
      <c r="S97" s="26">
        <v>45614</v>
      </c>
      <c r="T97" s="28" t="s">
        <v>199</v>
      </c>
      <c r="U97" s="28" t="s">
        <v>198</v>
      </c>
    </row>
    <row r="98" spans="1:21" ht="20.100000000000001" customHeight="1" x14ac:dyDescent="0.25">
      <c r="A98" s="32">
        <v>98</v>
      </c>
      <c r="B98" s="56">
        <v>1718949</v>
      </c>
      <c r="C98" s="56">
        <v>1286883</v>
      </c>
      <c r="D98" s="21" t="s">
        <v>131</v>
      </c>
      <c r="E98" s="21" t="s">
        <v>252</v>
      </c>
      <c r="F98" s="21"/>
      <c r="G98" s="21" t="s">
        <v>8</v>
      </c>
      <c r="H98" s="21" t="s">
        <v>150</v>
      </c>
      <c r="I98" s="21" t="s">
        <v>165</v>
      </c>
      <c r="J98" s="21" t="s">
        <v>154</v>
      </c>
      <c r="K98" s="21">
        <v>90</v>
      </c>
      <c r="L98" s="21" t="s">
        <v>168</v>
      </c>
      <c r="M98" s="21"/>
      <c r="N98" s="21"/>
      <c r="O98" s="21">
        <v>11649</v>
      </c>
      <c r="P98" s="24">
        <v>11749</v>
      </c>
      <c r="Q98" s="26">
        <v>45591</v>
      </c>
      <c r="R98" s="26">
        <v>45606</v>
      </c>
      <c r="S98" s="26">
        <v>45614</v>
      </c>
      <c r="T98" s="28" t="s">
        <v>199</v>
      </c>
      <c r="U98" s="28" t="s">
        <v>198</v>
      </c>
    </row>
    <row r="99" spans="1:21" ht="20.100000000000001" customHeight="1" x14ac:dyDescent="0.25">
      <c r="A99" s="32">
        <v>99</v>
      </c>
      <c r="B99" s="21"/>
      <c r="C99" s="21"/>
      <c r="D99" s="21" t="s">
        <v>253</v>
      </c>
      <c r="E99" s="21" t="s">
        <v>107</v>
      </c>
      <c r="F99" s="21"/>
      <c r="G99" s="21" t="s">
        <v>254</v>
      </c>
      <c r="H99" s="21" t="s">
        <v>150</v>
      </c>
      <c r="I99" s="21" t="s">
        <v>153</v>
      </c>
      <c r="J99" s="21" t="s">
        <v>156</v>
      </c>
      <c r="K99" s="21">
        <v>100</v>
      </c>
      <c r="L99" s="21" t="s">
        <v>167</v>
      </c>
      <c r="M99" s="21" t="s">
        <v>168</v>
      </c>
      <c r="N99" s="21"/>
      <c r="O99" s="21" t="s">
        <v>255</v>
      </c>
      <c r="P99" s="24">
        <v>4800</v>
      </c>
      <c r="Q99" s="26">
        <v>45593</v>
      </c>
      <c r="R99" s="26">
        <v>45607</v>
      </c>
      <c r="S99" s="26">
        <v>45617</v>
      </c>
      <c r="T99" s="28" t="s">
        <v>199</v>
      </c>
      <c r="U99" s="28" t="s">
        <v>198</v>
      </c>
    </row>
    <row r="100" spans="1:21" ht="20.100000000000001" customHeight="1" x14ac:dyDescent="0.25">
      <c r="A100" s="32">
        <v>100</v>
      </c>
      <c r="B100" s="21"/>
      <c r="C100" s="21"/>
      <c r="D100" s="21" t="s">
        <v>253</v>
      </c>
      <c r="E100" s="21" t="s">
        <v>107</v>
      </c>
      <c r="F100" s="21"/>
      <c r="G100" s="21" t="s">
        <v>254</v>
      </c>
      <c r="H100" s="21" t="s">
        <v>150</v>
      </c>
      <c r="I100" s="21" t="s">
        <v>153</v>
      </c>
      <c r="J100" s="21" t="s">
        <v>156</v>
      </c>
      <c r="K100" s="21">
        <v>120</v>
      </c>
      <c r="L100" s="21" t="s">
        <v>167</v>
      </c>
      <c r="M100" s="21" t="s">
        <v>168</v>
      </c>
      <c r="N100" s="21"/>
      <c r="O100" s="21" t="s">
        <v>256</v>
      </c>
      <c r="P100" s="24">
        <v>4800</v>
      </c>
      <c r="Q100" s="26">
        <v>45593</v>
      </c>
      <c r="R100" s="26">
        <v>45607</v>
      </c>
      <c r="S100" s="26">
        <v>45617</v>
      </c>
      <c r="T100" s="28" t="s">
        <v>199</v>
      </c>
      <c r="U100" s="28" t="s">
        <v>198</v>
      </c>
    </row>
    <row r="101" spans="1:21" ht="20.100000000000001" customHeight="1" x14ac:dyDescent="0.25">
      <c r="A101" s="32">
        <v>101</v>
      </c>
      <c r="B101" s="56">
        <v>1744766</v>
      </c>
      <c r="C101" s="56">
        <v>1298738</v>
      </c>
      <c r="D101" s="21" t="s">
        <v>257</v>
      </c>
      <c r="E101" s="21" t="s">
        <v>264</v>
      </c>
      <c r="F101" s="21"/>
      <c r="G101" s="21" t="s">
        <v>8</v>
      </c>
      <c r="H101" s="21" t="s">
        <v>150</v>
      </c>
      <c r="I101" s="21" t="s">
        <v>165</v>
      </c>
      <c r="J101" s="21" t="s">
        <v>155</v>
      </c>
      <c r="K101" s="21">
        <v>80</v>
      </c>
      <c r="L101" s="21" t="s">
        <v>167</v>
      </c>
      <c r="M101" s="21"/>
      <c r="N101" s="21"/>
      <c r="O101" s="21">
        <v>12099</v>
      </c>
      <c r="P101" s="24" t="s">
        <v>16</v>
      </c>
      <c r="Q101" s="26">
        <v>45607</v>
      </c>
      <c r="R101" s="26">
        <v>45622</v>
      </c>
      <c r="S101" s="26">
        <v>45623</v>
      </c>
      <c r="T101" s="28" t="s">
        <v>199</v>
      </c>
      <c r="U101" s="28" t="s">
        <v>198</v>
      </c>
    </row>
    <row r="102" spans="1:21" ht="20.100000000000001" customHeight="1" x14ac:dyDescent="0.2">
      <c r="A102" s="32">
        <v>102</v>
      </c>
      <c r="B102" s="63">
        <v>240082226</v>
      </c>
      <c r="C102" s="21"/>
      <c r="D102" s="21" t="s">
        <v>52</v>
      </c>
      <c r="E102" s="21" t="s">
        <v>224</v>
      </c>
      <c r="F102" s="21"/>
      <c r="G102" s="21" t="s">
        <v>52</v>
      </c>
      <c r="H102" s="21" t="s">
        <v>205</v>
      </c>
      <c r="I102" s="21" t="s">
        <v>206</v>
      </c>
      <c r="J102" s="21" t="s">
        <v>258</v>
      </c>
      <c r="K102" s="21"/>
      <c r="L102" s="21" t="s">
        <v>207</v>
      </c>
      <c r="M102" s="21" t="s">
        <v>259</v>
      </c>
      <c r="N102" s="21"/>
      <c r="O102" s="21">
        <v>15872</v>
      </c>
      <c r="P102" s="24" t="s">
        <v>260</v>
      </c>
      <c r="Q102" s="26">
        <v>45604</v>
      </c>
      <c r="R102" s="21" t="s">
        <v>261</v>
      </c>
      <c r="S102" s="26">
        <v>45610</v>
      </c>
      <c r="T102" s="28" t="s">
        <v>199</v>
      </c>
      <c r="U102" s="28" t="s">
        <v>198</v>
      </c>
    </row>
    <row r="103" spans="1:21" ht="20.100000000000001" customHeight="1" x14ac:dyDescent="0.25">
      <c r="A103" s="32">
        <v>103</v>
      </c>
      <c r="B103" s="21" t="s">
        <v>262</v>
      </c>
      <c r="C103" s="21"/>
      <c r="D103" s="21" t="s">
        <v>263</v>
      </c>
      <c r="E103" s="21" t="s">
        <v>34</v>
      </c>
      <c r="F103" s="21"/>
      <c r="G103" s="21" t="s">
        <v>263</v>
      </c>
      <c r="H103" s="21" t="s">
        <v>150</v>
      </c>
      <c r="I103" s="21" t="s">
        <v>153</v>
      </c>
      <c r="J103" s="21" t="s">
        <v>177</v>
      </c>
      <c r="K103" s="21">
        <v>120</v>
      </c>
      <c r="L103" s="21" t="s">
        <v>167</v>
      </c>
      <c r="M103" s="21" t="s">
        <v>168</v>
      </c>
      <c r="N103" s="21"/>
      <c r="O103" s="21">
        <v>4520</v>
      </c>
      <c r="P103" s="24" t="s">
        <v>85</v>
      </c>
      <c r="Q103" s="26">
        <v>45606</v>
      </c>
      <c r="R103" s="26">
        <v>45618</v>
      </c>
      <c r="S103" s="26">
        <v>45617</v>
      </c>
      <c r="T103" s="28" t="s">
        <v>199</v>
      </c>
      <c r="U103" s="28" t="s">
        <v>198</v>
      </c>
    </row>
    <row r="104" spans="1:21" ht="20.100000000000001" customHeight="1" x14ac:dyDescent="0.25">
      <c r="A104" s="32">
        <v>104</v>
      </c>
      <c r="B104" s="21" t="s">
        <v>265</v>
      </c>
      <c r="C104" s="21"/>
      <c r="D104" s="21" t="s">
        <v>83</v>
      </c>
      <c r="E104" s="21" t="s">
        <v>200</v>
      </c>
      <c r="F104" s="21"/>
      <c r="G104" s="21" t="s">
        <v>56</v>
      </c>
      <c r="H104" s="21" t="s">
        <v>150</v>
      </c>
      <c r="I104" s="21" t="s">
        <v>165</v>
      </c>
      <c r="J104" s="21" t="s">
        <v>154</v>
      </c>
      <c r="K104" s="21">
        <v>90</v>
      </c>
      <c r="L104" s="21" t="s">
        <v>168</v>
      </c>
      <c r="M104" s="21"/>
      <c r="N104" s="21"/>
      <c r="O104" s="21">
        <v>5766</v>
      </c>
      <c r="P104" s="24" t="s">
        <v>85</v>
      </c>
      <c r="Q104" s="26">
        <v>45608</v>
      </c>
      <c r="R104" s="26">
        <v>45622</v>
      </c>
      <c r="S104" s="26">
        <v>45621</v>
      </c>
      <c r="T104" s="28" t="s">
        <v>199</v>
      </c>
      <c r="U104" s="28" t="s">
        <v>198</v>
      </c>
    </row>
    <row r="105" spans="1:21" ht="20.100000000000001" customHeight="1" x14ac:dyDescent="0.25">
      <c r="A105" s="32">
        <v>105</v>
      </c>
      <c r="B105" s="56">
        <v>1752544</v>
      </c>
      <c r="C105" s="56">
        <v>1302011</v>
      </c>
      <c r="D105" s="21" t="s">
        <v>266</v>
      </c>
      <c r="E105" s="21" t="s">
        <v>107</v>
      </c>
      <c r="F105" s="21"/>
      <c r="G105" s="21" t="s">
        <v>8</v>
      </c>
      <c r="H105" s="21" t="s">
        <v>150</v>
      </c>
      <c r="I105" s="21" t="s">
        <v>153</v>
      </c>
      <c r="J105" s="21" t="s">
        <v>177</v>
      </c>
      <c r="K105" s="21">
        <v>160</v>
      </c>
      <c r="L105" s="21" t="s">
        <v>173</v>
      </c>
      <c r="M105" s="21" t="s">
        <v>168</v>
      </c>
      <c r="N105" s="21"/>
      <c r="O105" s="21">
        <v>11395</v>
      </c>
      <c r="P105" s="24" t="s">
        <v>16</v>
      </c>
      <c r="Q105" s="26">
        <v>45608</v>
      </c>
      <c r="R105" s="26">
        <v>45620</v>
      </c>
      <c r="S105" s="26">
        <v>45623</v>
      </c>
      <c r="T105" s="28" t="s">
        <v>199</v>
      </c>
      <c r="U105" s="28" t="s">
        <v>198</v>
      </c>
    </row>
    <row r="106" spans="1:21" ht="20.100000000000001" customHeight="1" x14ac:dyDescent="0.25">
      <c r="A106" s="32">
        <v>106</v>
      </c>
      <c r="B106" s="56">
        <v>1755075</v>
      </c>
      <c r="C106" s="56">
        <v>1303159</v>
      </c>
      <c r="D106" s="21" t="s">
        <v>267</v>
      </c>
      <c r="E106" s="21" t="s">
        <v>34</v>
      </c>
      <c r="F106" s="21"/>
      <c r="G106" s="21" t="s">
        <v>8</v>
      </c>
      <c r="H106" s="21" t="s">
        <v>150</v>
      </c>
      <c r="I106" s="21" t="s">
        <v>165</v>
      </c>
      <c r="J106" s="21" t="s">
        <v>268</v>
      </c>
      <c r="K106" s="21">
        <v>80</v>
      </c>
      <c r="L106" s="21" t="s">
        <v>167</v>
      </c>
      <c r="M106" s="21"/>
      <c r="N106" s="21"/>
      <c r="O106" s="21">
        <v>12919</v>
      </c>
      <c r="P106" s="24" t="s">
        <v>16</v>
      </c>
      <c r="Q106" s="26">
        <v>45610</v>
      </c>
      <c r="R106" s="26">
        <v>45626</v>
      </c>
      <c r="S106" s="26">
        <v>45623</v>
      </c>
      <c r="T106" s="28" t="s">
        <v>199</v>
      </c>
      <c r="U106" s="28" t="s">
        <v>198</v>
      </c>
    </row>
    <row r="107" spans="1:21" ht="20.100000000000001" customHeight="1" x14ac:dyDescent="0.25">
      <c r="A107" s="32">
        <v>107</v>
      </c>
      <c r="B107" s="21" t="s">
        <v>269</v>
      </c>
      <c r="C107" s="21"/>
      <c r="D107" s="21" t="s">
        <v>83</v>
      </c>
      <c r="E107" s="21" t="s">
        <v>200</v>
      </c>
      <c r="F107" s="21"/>
      <c r="G107" s="21" t="s">
        <v>56</v>
      </c>
      <c r="H107" s="21" t="s">
        <v>270</v>
      </c>
      <c r="I107" s="21" t="s">
        <v>165</v>
      </c>
      <c r="J107" s="21" t="s">
        <v>152</v>
      </c>
      <c r="K107" s="21">
        <v>120</v>
      </c>
      <c r="L107" s="21" t="s">
        <v>172</v>
      </c>
      <c r="M107" s="21"/>
      <c r="N107" s="21"/>
      <c r="O107" s="21">
        <v>6376</v>
      </c>
      <c r="P107" s="24" t="s">
        <v>85</v>
      </c>
      <c r="Q107" s="26">
        <v>45610</v>
      </c>
      <c r="R107" s="26">
        <v>45623</v>
      </c>
      <c r="S107" s="26">
        <v>45621</v>
      </c>
      <c r="T107" s="28" t="s">
        <v>199</v>
      </c>
      <c r="U107" s="28" t="s">
        <v>198</v>
      </c>
    </row>
    <row r="108" spans="1:21" ht="20.100000000000001" customHeight="1" x14ac:dyDescent="0.25">
      <c r="A108" s="32">
        <v>108</v>
      </c>
      <c r="B108" s="21" t="s">
        <v>271</v>
      </c>
      <c r="C108" s="21"/>
      <c r="D108" s="21" t="s">
        <v>83</v>
      </c>
      <c r="E108" s="21" t="s">
        <v>272</v>
      </c>
      <c r="F108" s="21"/>
      <c r="G108" s="21" t="s">
        <v>56</v>
      </c>
      <c r="H108" s="21" t="s">
        <v>150</v>
      </c>
      <c r="I108" s="21" t="s">
        <v>273</v>
      </c>
      <c r="J108" s="21" t="s">
        <v>152</v>
      </c>
      <c r="K108" s="21">
        <v>90</v>
      </c>
      <c r="L108" s="21" t="s">
        <v>168</v>
      </c>
      <c r="M108" s="21"/>
      <c r="N108" s="21"/>
      <c r="O108" s="21">
        <v>5294</v>
      </c>
      <c r="P108" s="24" t="s">
        <v>85</v>
      </c>
      <c r="Q108" s="26">
        <v>45610</v>
      </c>
      <c r="R108" s="26">
        <v>45623</v>
      </c>
      <c r="S108" s="26">
        <v>45621</v>
      </c>
      <c r="T108" s="28" t="s">
        <v>199</v>
      </c>
      <c r="U108" s="28" t="s">
        <v>198</v>
      </c>
    </row>
    <row r="109" spans="1:21" ht="20.100000000000001" customHeight="1" x14ac:dyDescent="0.2">
      <c r="A109" s="32">
        <v>109</v>
      </c>
      <c r="B109" s="64">
        <v>265453625</v>
      </c>
      <c r="C109" s="21"/>
      <c r="D109" s="21" t="s">
        <v>275</v>
      </c>
      <c r="E109" s="21" t="s">
        <v>39</v>
      </c>
      <c r="F109" s="64">
        <v>1277038843</v>
      </c>
      <c r="G109" s="21" t="s">
        <v>276</v>
      </c>
      <c r="H109" s="21" t="s">
        <v>270</v>
      </c>
      <c r="I109" s="21" t="s">
        <v>273</v>
      </c>
      <c r="J109" s="21" t="s">
        <v>277</v>
      </c>
      <c r="K109" s="21">
        <v>80</v>
      </c>
      <c r="L109" s="21" t="s">
        <v>167</v>
      </c>
      <c r="M109" s="21"/>
      <c r="N109" s="21"/>
      <c r="O109" s="21">
        <v>7396</v>
      </c>
      <c r="P109" s="24" t="s">
        <v>16</v>
      </c>
      <c r="Q109" s="26">
        <v>45613</v>
      </c>
      <c r="R109" s="26">
        <v>45624</v>
      </c>
      <c r="S109" s="26">
        <v>45622</v>
      </c>
      <c r="T109" s="28" t="s">
        <v>199</v>
      </c>
      <c r="U109" s="28" t="s">
        <v>198</v>
      </c>
    </row>
    <row r="110" spans="1:21" ht="20.100000000000001" customHeight="1" x14ac:dyDescent="0.25">
      <c r="A110" s="32">
        <v>110</v>
      </c>
      <c r="B110" s="56">
        <v>1762617</v>
      </c>
      <c r="C110" s="56">
        <v>1306879</v>
      </c>
      <c r="D110" s="21" t="s">
        <v>131</v>
      </c>
      <c r="E110" s="21" t="s">
        <v>278</v>
      </c>
      <c r="F110" s="21"/>
      <c r="G110" s="21" t="s">
        <v>8</v>
      </c>
      <c r="H110" s="21" t="s">
        <v>150</v>
      </c>
      <c r="I110" s="21" t="s">
        <v>165</v>
      </c>
      <c r="J110" s="21" t="s">
        <v>154</v>
      </c>
      <c r="K110" s="21">
        <v>90</v>
      </c>
      <c r="L110" s="21" t="s">
        <v>168</v>
      </c>
      <c r="M110" s="21"/>
      <c r="N110" s="21"/>
      <c r="O110" s="21">
        <v>13439</v>
      </c>
      <c r="P110" s="24">
        <v>13575</v>
      </c>
      <c r="Q110" s="26">
        <v>45616</v>
      </c>
      <c r="R110" s="26">
        <v>45631</v>
      </c>
      <c r="S110" s="26">
        <v>45622</v>
      </c>
      <c r="T110" s="28" t="s">
        <v>199</v>
      </c>
      <c r="U110" s="28" t="s">
        <v>198</v>
      </c>
    </row>
    <row r="111" spans="1:21" ht="20.100000000000001" customHeight="1" x14ac:dyDescent="0.25">
      <c r="A111" s="86">
        <v>111</v>
      </c>
      <c r="B111" s="2"/>
      <c r="C111" s="2"/>
      <c r="D111" s="2" t="s">
        <v>41</v>
      </c>
      <c r="E111" s="2" t="s">
        <v>46</v>
      </c>
      <c r="F111" s="2"/>
      <c r="G111" s="2" t="s">
        <v>41</v>
      </c>
      <c r="H111" s="2" t="s">
        <v>150</v>
      </c>
      <c r="I111" s="2" t="s">
        <v>279</v>
      </c>
      <c r="J111" s="2" t="s">
        <v>280</v>
      </c>
      <c r="K111" s="2">
        <v>160</v>
      </c>
      <c r="L111" s="2" t="s">
        <v>168</v>
      </c>
      <c r="M111" s="2" t="s">
        <v>168</v>
      </c>
      <c r="N111" s="2"/>
      <c r="O111" s="2">
        <v>5100</v>
      </c>
      <c r="P111" s="3" t="s">
        <v>85</v>
      </c>
      <c r="Q111" s="62">
        <v>45610</v>
      </c>
      <c r="R111" s="62">
        <v>45634</v>
      </c>
      <c r="S111" s="2"/>
      <c r="T111" s="2"/>
      <c r="U111" s="1"/>
    </row>
    <row r="112" spans="1:21" ht="20.100000000000001" customHeight="1" x14ac:dyDescent="0.25">
      <c r="A112" s="32">
        <v>112</v>
      </c>
      <c r="B112" s="21"/>
      <c r="C112" s="21"/>
      <c r="D112" s="21" t="s">
        <v>281</v>
      </c>
      <c r="E112" s="21" t="s">
        <v>49</v>
      </c>
      <c r="F112" s="21"/>
      <c r="G112" s="21" t="s">
        <v>282</v>
      </c>
      <c r="H112" s="21" t="s">
        <v>270</v>
      </c>
      <c r="I112" s="21" t="s">
        <v>153</v>
      </c>
      <c r="J112" s="21" t="s">
        <v>283</v>
      </c>
      <c r="K112" s="21">
        <v>160</v>
      </c>
      <c r="L112" s="21" t="s">
        <v>176</v>
      </c>
      <c r="M112" s="21" t="s">
        <v>167</v>
      </c>
      <c r="N112" s="21"/>
      <c r="O112" s="21" t="s">
        <v>284</v>
      </c>
      <c r="P112" s="24">
        <v>5800</v>
      </c>
      <c r="Q112" s="26">
        <v>45618</v>
      </c>
      <c r="R112" s="26">
        <v>45628</v>
      </c>
      <c r="S112" s="26">
        <v>45623</v>
      </c>
      <c r="T112" s="28" t="s">
        <v>199</v>
      </c>
      <c r="U112" s="28" t="s">
        <v>198</v>
      </c>
    </row>
    <row r="113" spans="1:21" ht="20.100000000000001" customHeight="1" x14ac:dyDescent="0.25">
      <c r="A113" s="32">
        <v>113</v>
      </c>
      <c r="B113" s="56">
        <v>1765451</v>
      </c>
      <c r="C113" s="56">
        <v>1308241</v>
      </c>
      <c r="D113" s="21" t="s">
        <v>285</v>
      </c>
      <c r="E113" s="21" t="s">
        <v>286</v>
      </c>
      <c r="F113" s="21"/>
      <c r="G113" s="21" t="s">
        <v>8</v>
      </c>
      <c r="H113" s="21" t="s">
        <v>150</v>
      </c>
      <c r="I113" s="21" t="s">
        <v>279</v>
      </c>
      <c r="J113" s="21" t="s">
        <v>287</v>
      </c>
      <c r="K113" s="21">
        <v>120</v>
      </c>
      <c r="L113" s="21" t="s">
        <v>172</v>
      </c>
      <c r="M113" s="21" t="s">
        <v>168</v>
      </c>
      <c r="N113" s="21"/>
      <c r="O113" s="21">
        <v>10885</v>
      </c>
      <c r="P113" s="24">
        <v>7965</v>
      </c>
      <c r="Q113" s="26">
        <v>45620</v>
      </c>
      <c r="R113" s="26">
        <v>45631</v>
      </c>
      <c r="S113" s="26">
        <v>45636</v>
      </c>
      <c r="T113" s="28" t="s">
        <v>199</v>
      </c>
      <c r="U113" s="28" t="s">
        <v>198</v>
      </c>
    </row>
    <row r="114" spans="1:21" ht="20.100000000000001" customHeight="1" x14ac:dyDescent="0.25">
      <c r="A114" s="32">
        <v>114</v>
      </c>
      <c r="B114" s="21"/>
      <c r="C114" s="21"/>
      <c r="D114" s="21" t="s">
        <v>41</v>
      </c>
      <c r="E114" s="21" t="s">
        <v>46</v>
      </c>
      <c r="F114" s="21"/>
      <c r="G114" s="21" t="s">
        <v>43</v>
      </c>
      <c r="H114" s="21" t="s">
        <v>205</v>
      </c>
      <c r="I114" s="21" t="s">
        <v>288</v>
      </c>
      <c r="J114" s="28" t="s">
        <v>288</v>
      </c>
      <c r="K114" s="21"/>
      <c r="L114" s="21" t="s">
        <v>207</v>
      </c>
      <c r="M114" s="21" t="s">
        <v>334</v>
      </c>
      <c r="N114" s="21"/>
      <c r="O114" s="21">
        <v>6000</v>
      </c>
      <c r="P114" s="24">
        <v>6000</v>
      </c>
      <c r="Q114" s="26">
        <v>45615</v>
      </c>
      <c r="R114" s="26">
        <v>45631</v>
      </c>
      <c r="S114" s="26">
        <v>45616</v>
      </c>
      <c r="T114" s="21" t="s">
        <v>289</v>
      </c>
      <c r="U114" s="28" t="s">
        <v>198</v>
      </c>
    </row>
    <row r="115" spans="1:21" ht="20.100000000000001" customHeight="1" x14ac:dyDescent="0.25">
      <c r="A115" s="32">
        <v>115</v>
      </c>
      <c r="B115" s="56">
        <v>1782674</v>
      </c>
      <c r="C115" s="21">
        <v>1315860</v>
      </c>
      <c r="D115" s="21" t="s">
        <v>290</v>
      </c>
      <c r="E115" s="21" t="s">
        <v>291</v>
      </c>
      <c r="F115" s="21"/>
      <c r="G115" s="21" t="s">
        <v>8</v>
      </c>
      <c r="H115" s="21" t="s">
        <v>292</v>
      </c>
      <c r="I115" s="21"/>
      <c r="J115" s="21" t="s">
        <v>293</v>
      </c>
      <c r="K115" s="21"/>
      <c r="L115" s="21" t="s">
        <v>168</v>
      </c>
      <c r="M115" s="21" t="s">
        <v>218</v>
      </c>
      <c r="N115" s="21"/>
      <c r="O115" s="21">
        <v>8449</v>
      </c>
      <c r="P115" s="24" t="s">
        <v>16</v>
      </c>
      <c r="Q115" s="26">
        <v>45623</v>
      </c>
      <c r="R115" s="26">
        <v>45636</v>
      </c>
      <c r="S115" s="26">
        <v>45649</v>
      </c>
      <c r="T115" s="21" t="s">
        <v>28</v>
      </c>
      <c r="U115" s="29" t="s">
        <v>198</v>
      </c>
    </row>
    <row r="116" spans="1:21" ht="20.100000000000001" customHeight="1" x14ac:dyDescent="0.25">
      <c r="A116" s="32">
        <v>116</v>
      </c>
      <c r="B116" s="21">
        <v>1781530</v>
      </c>
      <c r="C116" s="56">
        <v>1315450</v>
      </c>
      <c r="D116" s="21" t="s">
        <v>294</v>
      </c>
      <c r="E116" s="21" t="s">
        <v>59</v>
      </c>
      <c r="F116" s="21"/>
      <c r="G116" s="21" t="s">
        <v>8</v>
      </c>
      <c r="H116" s="21" t="s">
        <v>292</v>
      </c>
      <c r="I116" s="21" t="s">
        <v>295</v>
      </c>
      <c r="J116" s="21" t="s">
        <v>296</v>
      </c>
      <c r="K116" s="21"/>
      <c r="L116" s="21" t="s">
        <v>167</v>
      </c>
      <c r="M116" s="21" t="s">
        <v>297</v>
      </c>
      <c r="N116" s="21"/>
      <c r="O116" s="21">
        <v>10249</v>
      </c>
      <c r="P116" s="24">
        <v>6211</v>
      </c>
      <c r="Q116" s="26">
        <v>45623</v>
      </c>
      <c r="R116" s="26">
        <v>45636</v>
      </c>
      <c r="S116" s="26">
        <v>45645</v>
      </c>
      <c r="T116" s="28" t="s">
        <v>199</v>
      </c>
      <c r="U116" s="28" t="s">
        <v>198</v>
      </c>
    </row>
    <row r="117" spans="1:21" ht="20.100000000000001" customHeight="1" x14ac:dyDescent="0.25">
      <c r="A117" s="15">
        <v>117</v>
      </c>
      <c r="B117" s="7">
        <v>1795447</v>
      </c>
      <c r="C117" s="7">
        <v>1321584</v>
      </c>
      <c r="D117" s="7" t="s">
        <v>298</v>
      </c>
      <c r="E117" s="7" t="s">
        <v>299</v>
      </c>
      <c r="F117" s="7"/>
      <c r="G117" s="7" t="s">
        <v>8</v>
      </c>
      <c r="H117" s="7" t="s">
        <v>150</v>
      </c>
      <c r="I117" s="7" t="s">
        <v>165</v>
      </c>
      <c r="J117" s="7" t="s">
        <v>155</v>
      </c>
      <c r="K117" s="7">
        <v>100</v>
      </c>
      <c r="L117" s="7" t="s">
        <v>168</v>
      </c>
      <c r="M117" s="7"/>
      <c r="N117" s="7"/>
      <c r="O117" s="7">
        <v>14905</v>
      </c>
      <c r="P117" s="9" t="s">
        <v>16</v>
      </c>
      <c r="Q117" s="13">
        <v>45625</v>
      </c>
      <c r="R117" s="13">
        <v>45641</v>
      </c>
      <c r="S117" s="7"/>
      <c r="T117" s="7" t="s">
        <v>337</v>
      </c>
      <c r="U117" s="66" t="s">
        <v>236</v>
      </c>
    </row>
    <row r="118" spans="1:21" ht="20.100000000000001" customHeight="1" x14ac:dyDescent="0.25">
      <c r="A118" s="15">
        <v>118</v>
      </c>
      <c r="B118" s="67">
        <v>1808440</v>
      </c>
      <c r="C118" s="67">
        <v>1327172</v>
      </c>
      <c r="D118" s="7" t="s">
        <v>300</v>
      </c>
      <c r="E118" s="7" t="s">
        <v>67</v>
      </c>
      <c r="F118" s="7"/>
      <c r="G118" s="7" t="s">
        <v>8</v>
      </c>
      <c r="H118" s="7" t="s">
        <v>301</v>
      </c>
      <c r="I118" s="7" t="s">
        <v>295</v>
      </c>
      <c r="J118" s="7" t="s">
        <v>296</v>
      </c>
      <c r="K118" s="7"/>
      <c r="L118" s="7" t="s">
        <v>207</v>
      </c>
      <c r="M118" s="7" t="s">
        <v>302</v>
      </c>
      <c r="N118" s="7"/>
      <c r="O118" s="7">
        <v>10249</v>
      </c>
      <c r="P118" s="9" t="s">
        <v>16</v>
      </c>
      <c r="Q118" s="13">
        <v>45626</v>
      </c>
      <c r="R118" s="13">
        <v>45638</v>
      </c>
      <c r="S118" s="7"/>
      <c r="T118" s="7" t="s">
        <v>337</v>
      </c>
      <c r="U118" s="66" t="s">
        <v>236</v>
      </c>
    </row>
    <row r="119" spans="1:21" ht="20.100000000000001" customHeight="1" x14ac:dyDescent="0.25">
      <c r="A119" s="15">
        <v>119</v>
      </c>
      <c r="B119" s="7">
        <v>1808441</v>
      </c>
      <c r="C119" s="67">
        <v>1327172</v>
      </c>
      <c r="D119" s="7" t="s">
        <v>303</v>
      </c>
      <c r="E119" s="7" t="s">
        <v>67</v>
      </c>
      <c r="F119" s="7"/>
      <c r="G119" s="7" t="s">
        <v>304</v>
      </c>
      <c r="H119" s="7" t="s">
        <v>301</v>
      </c>
      <c r="I119" s="7" t="s">
        <v>189</v>
      </c>
      <c r="J119" s="7"/>
      <c r="K119" s="7"/>
      <c r="L119" s="8" t="s">
        <v>168</v>
      </c>
      <c r="M119" s="8" t="s">
        <v>305</v>
      </c>
      <c r="N119" s="7"/>
      <c r="O119" s="7">
        <v>9029</v>
      </c>
      <c r="P119" s="9" t="s">
        <v>16</v>
      </c>
      <c r="Q119" s="13">
        <v>45626</v>
      </c>
      <c r="R119" s="13">
        <v>45638</v>
      </c>
      <c r="S119" s="7"/>
      <c r="T119" s="7" t="s">
        <v>337</v>
      </c>
      <c r="U119" s="66" t="s">
        <v>236</v>
      </c>
    </row>
    <row r="120" spans="1:21" ht="20.100000000000001" customHeight="1" x14ac:dyDescent="0.25">
      <c r="A120" s="86">
        <v>120</v>
      </c>
      <c r="B120" s="58">
        <v>1805052</v>
      </c>
      <c r="C120" s="58">
        <v>1325637</v>
      </c>
      <c r="D120" s="2" t="s">
        <v>306</v>
      </c>
      <c r="E120" s="2" t="s">
        <v>144</v>
      </c>
      <c r="F120" s="2"/>
      <c r="G120" s="2" t="s">
        <v>304</v>
      </c>
      <c r="H120" s="2" t="s">
        <v>292</v>
      </c>
      <c r="I120" s="2" t="s">
        <v>307</v>
      </c>
      <c r="J120" s="2"/>
      <c r="K120" s="2"/>
      <c r="L120" s="92" t="s">
        <v>207</v>
      </c>
      <c r="M120" s="2" t="s">
        <v>308</v>
      </c>
      <c r="N120" s="2"/>
      <c r="O120" s="2">
        <v>9029</v>
      </c>
      <c r="P120" s="3" t="s">
        <v>16</v>
      </c>
      <c r="Q120" s="62">
        <v>45626</v>
      </c>
      <c r="R120" s="62">
        <v>45638</v>
      </c>
      <c r="S120" s="2"/>
      <c r="T120" s="2"/>
      <c r="U120" s="1"/>
    </row>
    <row r="121" spans="1:21" ht="20.100000000000001" customHeight="1" x14ac:dyDescent="0.25">
      <c r="A121" s="15">
        <v>121</v>
      </c>
      <c r="B121" s="67">
        <v>1813823</v>
      </c>
      <c r="C121" s="67">
        <v>1329646</v>
      </c>
      <c r="D121" s="7" t="s">
        <v>309</v>
      </c>
      <c r="E121" s="7" t="s">
        <v>310</v>
      </c>
      <c r="F121" s="7"/>
      <c r="G121" s="7" t="s">
        <v>8</v>
      </c>
      <c r="H121" s="7" t="s">
        <v>150</v>
      </c>
      <c r="I121" s="7" t="s">
        <v>273</v>
      </c>
      <c r="J121" s="7" t="s">
        <v>152</v>
      </c>
      <c r="K121" s="68">
        <v>80</v>
      </c>
      <c r="L121" s="7" t="s">
        <v>167</v>
      </c>
      <c r="M121" s="7"/>
      <c r="N121" s="7"/>
      <c r="O121" s="7">
        <v>12099</v>
      </c>
      <c r="P121" s="9" t="s">
        <v>16</v>
      </c>
      <c r="Q121" s="13">
        <v>45628</v>
      </c>
      <c r="R121" s="13">
        <v>45643</v>
      </c>
      <c r="S121" s="7"/>
      <c r="T121" s="7" t="s">
        <v>337</v>
      </c>
      <c r="U121" s="66" t="s">
        <v>236</v>
      </c>
    </row>
    <row r="122" spans="1:21" ht="20.100000000000001" customHeight="1" x14ac:dyDescent="0.25">
      <c r="A122" s="32">
        <v>122</v>
      </c>
      <c r="B122" s="21" t="s">
        <v>311</v>
      </c>
      <c r="C122" s="21"/>
      <c r="D122" s="21" t="s">
        <v>83</v>
      </c>
      <c r="E122" s="21" t="s">
        <v>200</v>
      </c>
      <c r="F122" s="21"/>
      <c r="G122" s="21" t="s">
        <v>56</v>
      </c>
      <c r="H122" s="21" t="s">
        <v>150</v>
      </c>
      <c r="I122" s="21" t="s">
        <v>273</v>
      </c>
      <c r="J122" s="21" t="s">
        <v>277</v>
      </c>
      <c r="K122" s="57">
        <v>90</v>
      </c>
      <c r="L122" s="21" t="s">
        <v>170</v>
      </c>
      <c r="M122" s="21"/>
      <c r="N122" s="21"/>
      <c r="O122" s="21">
        <v>5217</v>
      </c>
      <c r="P122" s="24" t="s">
        <v>85</v>
      </c>
      <c r="Q122" s="26">
        <v>45627</v>
      </c>
      <c r="R122" s="26">
        <v>45640</v>
      </c>
      <c r="S122" s="26">
        <v>45636</v>
      </c>
      <c r="T122" s="28" t="s">
        <v>199</v>
      </c>
      <c r="U122" s="28" t="s">
        <v>198</v>
      </c>
    </row>
    <row r="123" spans="1:21" ht="20.100000000000001" customHeight="1" x14ac:dyDescent="0.25">
      <c r="A123" s="32">
        <v>123</v>
      </c>
      <c r="B123" s="56">
        <v>1810950</v>
      </c>
      <c r="C123" s="56">
        <v>1328141</v>
      </c>
      <c r="D123" s="21" t="s">
        <v>312</v>
      </c>
      <c r="E123" s="21" t="s">
        <v>135</v>
      </c>
      <c r="F123" s="21"/>
      <c r="G123" s="21" t="s">
        <v>8</v>
      </c>
      <c r="H123" s="21" t="s">
        <v>270</v>
      </c>
      <c r="I123" s="21" t="s">
        <v>151</v>
      </c>
      <c r="J123" s="21"/>
      <c r="K123" s="21"/>
      <c r="L123" s="21" t="s">
        <v>168</v>
      </c>
      <c r="M123" s="21" t="s">
        <v>168</v>
      </c>
      <c r="N123" s="21"/>
      <c r="O123" s="21">
        <v>10249</v>
      </c>
      <c r="P123" s="24">
        <v>6211</v>
      </c>
      <c r="Q123" s="26">
        <v>45630</v>
      </c>
      <c r="R123" s="26">
        <v>45640</v>
      </c>
      <c r="S123" s="26">
        <v>45645</v>
      </c>
      <c r="T123" s="28" t="s">
        <v>199</v>
      </c>
      <c r="U123" s="28" t="s">
        <v>198</v>
      </c>
    </row>
    <row r="124" spans="1:21" ht="20.100000000000001" customHeight="1" x14ac:dyDescent="0.2">
      <c r="A124" s="32">
        <v>124</v>
      </c>
      <c r="B124" s="65">
        <v>240085463</v>
      </c>
      <c r="C124" s="21"/>
      <c r="D124" s="21" t="s">
        <v>313</v>
      </c>
      <c r="E124" s="21" t="s">
        <v>314</v>
      </c>
      <c r="F124" s="21"/>
      <c r="G124" s="21" t="s">
        <v>52</v>
      </c>
      <c r="H124" s="21" t="s">
        <v>150</v>
      </c>
      <c r="I124" s="21" t="s">
        <v>165</v>
      </c>
      <c r="J124" s="21" t="s">
        <v>154</v>
      </c>
      <c r="K124" s="21"/>
      <c r="L124" s="21" t="s">
        <v>168</v>
      </c>
      <c r="M124" s="21"/>
      <c r="N124" s="21"/>
      <c r="O124" s="21">
        <v>10445</v>
      </c>
      <c r="P124" s="24">
        <v>7707</v>
      </c>
      <c r="Q124" s="26">
        <v>45635</v>
      </c>
      <c r="R124" s="26">
        <v>45657</v>
      </c>
      <c r="S124" s="26">
        <v>45638</v>
      </c>
      <c r="T124" s="28" t="s">
        <v>199</v>
      </c>
      <c r="U124" s="28" t="s">
        <v>198</v>
      </c>
    </row>
    <row r="125" spans="1:21" ht="20.100000000000001" customHeight="1" x14ac:dyDescent="0.25">
      <c r="A125" s="32">
        <v>125</v>
      </c>
      <c r="B125" s="56">
        <v>1818591</v>
      </c>
      <c r="C125" s="56">
        <v>1332300</v>
      </c>
      <c r="D125" s="21" t="s">
        <v>315</v>
      </c>
      <c r="E125" s="21" t="s">
        <v>67</v>
      </c>
      <c r="F125" s="21"/>
      <c r="G125" s="21" t="s">
        <v>8</v>
      </c>
      <c r="H125" s="21" t="s">
        <v>292</v>
      </c>
      <c r="I125" s="21" t="s">
        <v>316</v>
      </c>
      <c r="J125" s="21" t="s">
        <v>296</v>
      </c>
      <c r="K125" s="21"/>
      <c r="L125" s="21" t="s">
        <v>207</v>
      </c>
      <c r="M125" s="21" t="s">
        <v>302</v>
      </c>
      <c r="N125" s="21"/>
      <c r="O125" s="21">
        <v>11199</v>
      </c>
      <c r="P125" s="24">
        <v>11257</v>
      </c>
      <c r="Q125" s="26">
        <v>45638</v>
      </c>
      <c r="R125" s="26">
        <v>45650</v>
      </c>
      <c r="S125" s="26">
        <v>45645</v>
      </c>
      <c r="T125" s="28" t="s">
        <v>199</v>
      </c>
      <c r="U125" s="28" t="s">
        <v>198</v>
      </c>
    </row>
    <row r="126" spans="1:21" ht="20.100000000000001" customHeight="1" x14ac:dyDescent="0.25">
      <c r="A126" s="32">
        <v>126</v>
      </c>
      <c r="B126" s="21">
        <v>1818396</v>
      </c>
      <c r="C126" s="21">
        <v>1332179</v>
      </c>
      <c r="D126" s="21" t="s">
        <v>317</v>
      </c>
      <c r="E126" s="21" t="s">
        <v>278</v>
      </c>
      <c r="F126" s="21"/>
      <c r="G126" s="21" t="s">
        <v>8</v>
      </c>
      <c r="H126" s="21" t="s">
        <v>270</v>
      </c>
      <c r="I126" s="21" t="s">
        <v>165</v>
      </c>
      <c r="J126" s="21" t="s">
        <v>152</v>
      </c>
      <c r="K126" s="21">
        <v>80</v>
      </c>
      <c r="L126" s="21" t="s">
        <v>168</v>
      </c>
      <c r="M126" s="21"/>
      <c r="N126" s="21"/>
      <c r="O126" s="21">
        <v>13099</v>
      </c>
      <c r="P126" s="24">
        <v>13231</v>
      </c>
      <c r="Q126" s="26">
        <v>45638</v>
      </c>
      <c r="R126" s="26">
        <v>45654</v>
      </c>
      <c r="S126" s="26">
        <v>45655</v>
      </c>
      <c r="T126" s="21" t="s">
        <v>199</v>
      </c>
      <c r="U126" s="28" t="s">
        <v>198</v>
      </c>
    </row>
    <row r="127" spans="1:21" ht="20.100000000000001" customHeight="1" x14ac:dyDescent="0.2">
      <c r="A127" s="32">
        <v>127</v>
      </c>
      <c r="B127" s="69">
        <v>240085758</v>
      </c>
      <c r="C127" s="21"/>
      <c r="D127" s="21" t="s">
        <v>52</v>
      </c>
      <c r="E127" s="21" t="s">
        <v>224</v>
      </c>
      <c r="F127" s="21"/>
      <c r="G127" s="21" t="s">
        <v>52</v>
      </c>
      <c r="H127" s="21" t="s">
        <v>205</v>
      </c>
      <c r="I127" s="21" t="s">
        <v>206</v>
      </c>
      <c r="J127" s="21" t="s">
        <v>258</v>
      </c>
      <c r="K127" s="21"/>
      <c r="L127" s="21" t="s">
        <v>207</v>
      </c>
      <c r="M127" s="21" t="s">
        <v>318</v>
      </c>
      <c r="N127" s="21"/>
      <c r="O127" s="21">
        <v>8700</v>
      </c>
      <c r="P127" s="24" t="s">
        <v>85</v>
      </c>
      <c r="Q127" s="26">
        <v>45640</v>
      </c>
      <c r="R127" s="26">
        <v>45662</v>
      </c>
      <c r="S127" s="26">
        <v>45655</v>
      </c>
      <c r="T127" s="21" t="s">
        <v>199</v>
      </c>
      <c r="U127" s="28" t="s">
        <v>198</v>
      </c>
    </row>
    <row r="128" spans="1:21" ht="20.100000000000001" customHeight="1" x14ac:dyDescent="0.25">
      <c r="A128" s="2"/>
      <c r="B128" s="2"/>
      <c r="C128" s="2"/>
      <c r="D128" s="2"/>
      <c r="E128" s="2"/>
      <c r="F128" s="2"/>
      <c r="G128" s="2"/>
      <c r="H128" s="2"/>
      <c r="I128" s="2"/>
      <c r="J128" s="92"/>
      <c r="K128" s="2"/>
      <c r="L128" s="92"/>
      <c r="M128" s="2"/>
      <c r="N128" s="2"/>
      <c r="O128" s="2"/>
      <c r="P128" s="3"/>
      <c r="Q128" s="2"/>
      <c r="R128" s="2"/>
      <c r="S128" s="2"/>
      <c r="T128" s="2"/>
      <c r="U128" s="1"/>
    </row>
    <row r="129" spans="1:21" ht="20.100000000000001" customHeight="1" x14ac:dyDescent="0.25">
      <c r="A129" s="2"/>
      <c r="B129" s="2"/>
      <c r="C129" s="2"/>
      <c r="D129" s="2"/>
      <c r="E129" s="2"/>
      <c r="F129" s="2"/>
      <c r="G129" s="2"/>
      <c r="H129" s="2"/>
      <c r="I129" s="2"/>
      <c r="J129" s="92"/>
      <c r="K129" s="2"/>
      <c r="L129" s="92"/>
      <c r="M129" s="2"/>
      <c r="N129" s="2"/>
      <c r="O129" s="2"/>
      <c r="P129" s="3"/>
      <c r="Q129" s="2"/>
      <c r="R129" s="2"/>
      <c r="S129" s="2"/>
      <c r="T129" s="2"/>
      <c r="U129" s="1"/>
    </row>
    <row r="130" spans="1:21" ht="20.100000000000001" customHeight="1" x14ac:dyDescent="0.25">
      <c r="A130" s="2"/>
      <c r="B130" s="2"/>
      <c r="C130" s="2"/>
      <c r="D130" s="2"/>
      <c r="E130" s="2"/>
      <c r="F130" s="2"/>
      <c r="G130" s="2"/>
      <c r="H130" s="2"/>
      <c r="I130" s="2"/>
      <c r="J130" s="92"/>
      <c r="K130" s="2"/>
      <c r="L130" s="92"/>
      <c r="M130" s="2"/>
      <c r="N130" s="2"/>
      <c r="O130" s="2"/>
      <c r="P130" s="3"/>
      <c r="Q130" s="2"/>
      <c r="R130" s="2"/>
      <c r="S130" s="2"/>
      <c r="T130" s="2"/>
      <c r="U130" s="1"/>
    </row>
    <row r="131" spans="1:21" ht="20.100000000000001" customHeight="1" x14ac:dyDescent="0.25">
      <c r="A131" s="2"/>
      <c r="B131" s="2"/>
      <c r="C131" s="2"/>
      <c r="D131" s="2"/>
      <c r="E131" s="2"/>
      <c r="F131" s="2"/>
      <c r="G131" s="2"/>
      <c r="H131" s="2"/>
      <c r="I131" s="2"/>
      <c r="J131" s="92"/>
      <c r="K131" s="2"/>
      <c r="L131" s="92"/>
      <c r="M131" s="2"/>
      <c r="N131" s="2"/>
      <c r="O131" s="2"/>
      <c r="P131" s="3"/>
      <c r="Q131" s="2"/>
      <c r="R131" s="2"/>
      <c r="S131" s="2"/>
      <c r="T131" s="2"/>
      <c r="U131" s="1"/>
    </row>
    <row r="132" spans="1:21" ht="20.100000000000001" customHeight="1" x14ac:dyDescent="0.25">
      <c r="A132" s="2"/>
      <c r="B132" s="2"/>
      <c r="C132" s="2"/>
      <c r="D132" s="2"/>
      <c r="E132" s="2"/>
      <c r="F132" s="2"/>
      <c r="G132" s="2"/>
      <c r="H132" s="2"/>
      <c r="I132" s="2"/>
      <c r="J132" s="92"/>
      <c r="K132" s="2"/>
      <c r="L132" s="92"/>
      <c r="M132" s="2"/>
      <c r="N132" s="2"/>
      <c r="O132" s="2"/>
      <c r="P132" s="3"/>
      <c r="Q132" s="2"/>
      <c r="R132" s="2"/>
      <c r="S132" s="2"/>
      <c r="T132" s="2"/>
      <c r="U132" s="1"/>
    </row>
    <row r="133" spans="1:21" ht="20.100000000000001" customHeight="1" x14ac:dyDescent="0.25">
      <c r="A133" s="2"/>
      <c r="B133" s="2"/>
      <c r="C133" s="2"/>
      <c r="D133" s="2"/>
      <c r="E133" s="2"/>
      <c r="F133" s="2"/>
      <c r="G133" s="2"/>
      <c r="H133" s="2"/>
      <c r="I133" s="2"/>
      <c r="J133" s="92"/>
      <c r="K133" s="2"/>
      <c r="L133" s="92"/>
      <c r="M133" s="2"/>
      <c r="N133" s="2"/>
      <c r="O133" s="2"/>
      <c r="P133" s="3"/>
      <c r="Q133" s="2"/>
      <c r="R133" s="2"/>
      <c r="S133" s="2"/>
      <c r="T133" s="2"/>
      <c r="U133" s="1"/>
    </row>
    <row r="134" spans="1:21" ht="20.100000000000001" customHeight="1" x14ac:dyDescent="0.25">
      <c r="A134" s="2"/>
      <c r="B134" s="2"/>
      <c r="C134" s="2"/>
      <c r="D134" s="2"/>
      <c r="E134" s="2"/>
      <c r="F134" s="2"/>
      <c r="G134" s="2"/>
      <c r="H134" s="2"/>
      <c r="I134" s="2"/>
      <c r="J134" s="92"/>
      <c r="K134" s="2"/>
      <c r="L134" s="92"/>
      <c r="M134" s="2"/>
      <c r="N134" s="2"/>
      <c r="O134" s="2"/>
      <c r="P134" s="3"/>
      <c r="Q134" s="2"/>
      <c r="R134" s="2"/>
      <c r="S134" s="2"/>
      <c r="T134" s="2"/>
      <c r="U134" s="1"/>
    </row>
    <row r="135" spans="1:21" ht="20.100000000000001" customHeight="1" x14ac:dyDescent="0.25">
      <c r="A135" s="2"/>
      <c r="B135" s="2"/>
      <c r="C135" s="2"/>
      <c r="D135" s="2"/>
      <c r="E135" s="2"/>
      <c r="F135" s="2"/>
      <c r="G135" s="2"/>
      <c r="H135" s="2"/>
      <c r="I135" s="2"/>
      <c r="J135" s="92"/>
      <c r="K135" s="2"/>
      <c r="L135" s="92"/>
      <c r="M135" s="2"/>
      <c r="N135" s="2"/>
      <c r="O135" s="2"/>
      <c r="P135" s="3"/>
      <c r="Q135" s="2"/>
      <c r="R135" s="2"/>
      <c r="S135" s="2"/>
      <c r="T135" s="2"/>
      <c r="U135" s="1"/>
    </row>
    <row r="136" spans="1:21" ht="20.100000000000001" customHeight="1" x14ac:dyDescent="0.25">
      <c r="A136" s="2"/>
      <c r="B136" s="2"/>
      <c r="C136" s="2"/>
      <c r="D136" s="2"/>
      <c r="E136" s="2"/>
      <c r="F136" s="2"/>
      <c r="G136" s="2"/>
      <c r="H136" s="2"/>
      <c r="I136" s="2"/>
      <c r="J136" s="92"/>
      <c r="K136" s="2"/>
      <c r="L136" s="92"/>
      <c r="M136" s="2"/>
      <c r="N136" s="2"/>
      <c r="O136" s="2"/>
      <c r="P136" s="3"/>
      <c r="Q136" s="2"/>
      <c r="R136" s="2"/>
      <c r="S136" s="2"/>
      <c r="T136" s="2"/>
      <c r="U136" s="1"/>
    </row>
    <row r="137" spans="1:21" ht="20.100000000000001" customHeight="1" x14ac:dyDescent="0.25">
      <c r="A137" s="2"/>
      <c r="B137" s="2"/>
      <c r="C137" s="2"/>
      <c r="D137" s="2"/>
      <c r="E137" s="2"/>
      <c r="F137" s="2"/>
      <c r="G137" s="2"/>
      <c r="H137" s="2"/>
      <c r="I137" s="2"/>
      <c r="J137" s="92"/>
      <c r="K137" s="2"/>
      <c r="L137" s="92"/>
      <c r="M137" s="2"/>
      <c r="N137" s="2"/>
      <c r="O137" s="2"/>
      <c r="P137" s="3"/>
      <c r="Q137" s="2"/>
      <c r="R137" s="2"/>
      <c r="S137" s="2"/>
      <c r="T137" s="2"/>
      <c r="U137" s="1"/>
    </row>
    <row r="138" spans="1:21" ht="20.100000000000001" customHeight="1" x14ac:dyDescent="0.25">
      <c r="A138" s="2"/>
      <c r="B138" s="2"/>
      <c r="C138" s="2"/>
      <c r="D138" s="2"/>
      <c r="E138" s="2"/>
      <c r="F138" s="2"/>
      <c r="G138" s="2"/>
      <c r="H138" s="2"/>
      <c r="I138" s="2"/>
      <c r="J138" s="92"/>
      <c r="K138" s="2"/>
      <c r="L138" s="92"/>
      <c r="M138" s="2"/>
      <c r="N138" s="2"/>
      <c r="O138" s="2"/>
      <c r="P138" s="3"/>
      <c r="Q138" s="2"/>
      <c r="R138" s="2"/>
      <c r="S138" s="2"/>
      <c r="T138" s="2"/>
      <c r="U138" s="1"/>
    </row>
    <row r="139" spans="1:21" ht="20.100000000000001" customHeight="1" x14ac:dyDescent="0.25">
      <c r="A139" s="2"/>
      <c r="B139" s="2"/>
      <c r="C139" s="2"/>
      <c r="D139" s="2"/>
      <c r="E139" s="2"/>
      <c r="F139" s="2"/>
      <c r="G139" s="2"/>
      <c r="H139" s="2"/>
      <c r="I139" s="2"/>
      <c r="J139" s="92"/>
      <c r="K139" s="2"/>
      <c r="L139" s="92"/>
      <c r="M139" s="2"/>
      <c r="N139" s="2"/>
      <c r="O139" s="2"/>
      <c r="P139" s="3"/>
      <c r="Q139" s="2"/>
      <c r="R139" s="2"/>
      <c r="S139" s="2"/>
      <c r="T139" s="2"/>
      <c r="U139" s="1"/>
    </row>
    <row r="140" spans="1:21" ht="20.100000000000001" customHeight="1" x14ac:dyDescent="0.25">
      <c r="A140" s="2"/>
      <c r="B140" s="2"/>
      <c r="C140" s="2"/>
      <c r="D140" s="2"/>
      <c r="E140" s="2"/>
      <c r="F140" s="2"/>
      <c r="G140" s="2"/>
      <c r="H140" s="2"/>
      <c r="I140" s="2"/>
      <c r="J140" s="92"/>
      <c r="K140" s="2"/>
      <c r="L140" s="92"/>
      <c r="M140" s="2"/>
      <c r="N140" s="2"/>
      <c r="O140" s="2"/>
      <c r="P140" s="3"/>
      <c r="Q140" s="2"/>
      <c r="R140" s="2"/>
      <c r="S140" s="2"/>
      <c r="T140" s="2"/>
      <c r="U140" s="1"/>
    </row>
    <row r="141" spans="1:21" ht="20.100000000000001" customHeight="1" x14ac:dyDescent="0.25">
      <c r="A141" s="2"/>
      <c r="B141" s="2"/>
      <c r="C141" s="2"/>
      <c r="D141" s="2"/>
      <c r="E141" s="2"/>
      <c r="F141" s="2"/>
      <c r="G141" s="2"/>
      <c r="H141" s="2"/>
      <c r="I141" s="2"/>
      <c r="J141" s="92"/>
      <c r="K141" s="2"/>
      <c r="L141" s="92"/>
      <c r="M141" s="2"/>
      <c r="N141" s="2"/>
      <c r="O141" s="2"/>
      <c r="P141" s="3"/>
      <c r="Q141" s="2"/>
      <c r="R141" s="2"/>
      <c r="S141" s="2"/>
      <c r="T141" s="2"/>
      <c r="U141" s="1"/>
    </row>
    <row r="142" spans="1:21" ht="20.100000000000001" customHeight="1" x14ac:dyDescent="0.25">
      <c r="A142" s="2"/>
      <c r="B142" s="2"/>
      <c r="C142" s="2"/>
      <c r="D142" s="2"/>
      <c r="E142" s="2"/>
      <c r="F142" s="2"/>
      <c r="G142" s="2"/>
      <c r="H142" s="2"/>
      <c r="I142" s="2"/>
      <c r="J142" s="92"/>
      <c r="K142" s="2"/>
      <c r="L142" s="92"/>
      <c r="M142" s="2"/>
      <c r="N142" s="2"/>
      <c r="O142" s="2"/>
      <c r="P142" s="3"/>
      <c r="Q142" s="2"/>
      <c r="R142" s="2"/>
      <c r="S142" s="2"/>
      <c r="T142" s="2"/>
      <c r="U142" s="1"/>
    </row>
    <row r="143" spans="1:21" ht="20.100000000000001" customHeight="1" x14ac:dyDescent="0.25">
      <c r="A143" s="2"/>
      <c r="B143" s="2"/>
      <c r="C143" s="2"/>
      <c r="D143" s="2"/>
      <c r="E143" s="2"/>
      <c r="F143" s="2"/>
      <c r="G143" s="2"/>
      <c r="H143" s="2"/>
      <c r="I143" s="2"/>
      <c r="J143" s="92"/>
      <c r="K143" s="2"/>
      <c r="L143" s="92"/>
      <c r="M143" s="2"/>
      <c r="N143" s="2"/>
      <c r="O143" s="2"/>
      <c r="P143" s="3"/>
      <c r="Q143" s="2"/>
      <c r="R143" s="2"/>
      <c r="S143" s="2"/>
      <c r="T143" s="2"/>
      <c r="U143" s="1"/>
    </row>
    <row r="144" spans="1:21" ht="20.100000000000001" customHeight="1" x14ac:dyDescent="0.25">
      <c r="A144" s="2"/>
      <c r="B144" s="2"/>
      <c r="C144" s="2"/>
      <c r="D144" s="2"/>
      <c r="E144" s="2"/>
      <c r="F144" s="2"/>
      <c r="G144" s="2"/>
      <c r="H144" s="2"/>
      <c r="I144" s="2"/>
      <c r="J144" s="92"/>
      <c r="K144" s="2"/>
      <c r="L144" s="92"/>
      <c r="M144" s="2"/>
      <c r="N144" s="2"/>
      <c r="O144" s="2"/>
      <c r="P144" s="3"/>
      <c r="Q144" s="2"/>
      <c r="R144" s="2"/>
      <c r="S144" s="2"/>
      <c r="T144" s="2"/>
      <c r="U144" s="1"/>
    </row>
    <row r="145" spans="1:21" ht="20.100000000000001" customHeight="1" x14ac:dyDescent="0.25">
      <c r="A145" s="2"/>
      <c r="B145" s="2"/>
      <c r="C145" s="2"/>
      <c r="D145" s="2"/>
      <c r="E145" s="2"/>
      <c r="F145" s="2"/>
      <c r="G145" s="2"/>
      <c r="H145" s="2"/>
      <c r="I145" s="2"/>
      <c r="J145" s="92"/>
      <c r="K145" s="2"/>
      <c r="L145" s="92"/>
      <c r="M145" s="2"/>
      <c r="N145" s="2"/>
      <c r="O145" s="2"/>
      <c r="P145" s="3"/>
      <c r="Q145" s="2"/>
      <c r="R145" s="2"/>
      <c r="S145" s="2"/>
      <c r="T145" s="2"/>
      <c r="U145" s="1"/>
    </row>
    <row r="146" spans="1:21" ht="20.100000000000001" customHeight="1" x14ac:dyDescent="0.25">
      <c r="A146" s="2"/>
      <c r="B146" s="2"/>
      <c r="C146" s="2"/>
      <c r="D146" s="2"/>
      <c r="E146" s="2"/>
      <c r="F146" s="2"/>
      <c r="G146" s="2"/>
      <c r="H146" s="2"/>
      <c r="I146" s="2"/>
      <c r="J146" s="92"/>
      <c r="K146" s="2"/>
      <c r="L146" s="92"/>
      <c r="M146" s="2"/>
      <c r="N146" s="2"/>
      <c r="O146" s="2"/>
      <c r="P146" s="3"/>
      <c r="Q146" s="2"/>
      <c r="R146" s="2"/>
      <c r="S146" s="2"/>
      <c r="T146" s="2"/>
      <c r="U146" s="1"/>
    </row>
    <row r="147" spans="1:21" ht="20.100000000000001" customHeight="1" x14ac:dyDescent="0.25">
      <c r="A147" s="2"/>
      <c r="B147" s="2"/>
      <c r="C147" s="2"/>
      <c r="D147" s="2"/>
      <c r="E147" s="2"/>
      <c r="F147" s="2"/>
      <c r="G147" s="2"/>
      <c r="H147" s="2"/>
      <c r="I147" s="2"/>
      <c r="J147" s="92"/>
      <c r="K147" s="2"/>
      <c r="L147" s="92"/>
      <c r="M147" s="2"/>
      <c r="N147" s="2"/>
      <c r="O147" s="2"/>
      <c r="P147" s="3"/>
      <c r="Q147" s="2"/>
      <c r="R147" s="2"/>
      <c r="S147" s="2"/>
      <c r="T147" s="2"/>
      <c r="U147" s="1"/>
    </row>
    <row r="148" spans="1:21" ht="20.100000000000001" customHeight="1" x14ac:dyDescent="0.25">
      <c r="A148" s="2"/>
      <c r="B148" s="2"/>
      <c r="C148" s="2"/>
      <c r="D148" s="2"/>
      <c r="E148" s="2"/>
      <c r="F148" s="2"/>
      <c r="G148" s="2"/>
      <c r="H148" s="2"/>
      <c r="I148" s="2"/>
      <c r="J148" s="92"/>
      <c r="K148" s="2"/>
      <c r="L148" s="92"/>
      <c r="M148" s="2"/>
      <c r="N148" s="2"/>
      <c r="O148" s="2"/>
      <c r="P148" s="3"/>
      <c r="Q148" s="2"/>
      <c r="R148" s="2"/>
      <c r="S148" s="2"/>
      <c r="T148" s="2"/>
      <c r="U148" s="1"/>
    </row>
    <row r="149" spans="1:21" ht="20.100000000000001" customHeight="1" x14ac:dyDescent="0.25">
      <c r="A149" s="2"/>
      <c r="B149" s="2"/>
      <c r="C149" s="2"/>
      <c r="D149" s="2"/>
      <c r="E149" s="2"/>
      <c r="F149" s="2"/>
      <c r="G149" s="2"/>
      <c r="H149" s="2"/>
      <c r="I149" s="2"/>
      <c r="J149" s="92"/>
      <c r="K149" s="2"/>
      <c r="L149" s="92"/>
      <c r="M149" s="2"/>
      <c r="N149" s="2"/>
      <c r="O149" s="2"/>
      <c r="P149" s="3"/>
      <c r="Q149" s="2"/>
      <c r="R149" s="2"/>
      <c r="S149" s="2"/>
      <c r="T149" s="2"/>
      <c r="U149" s="1"/>
    </row>
    <row r="150" spans="1:21" ht="20.100000000000001" customHeight="1" x14ac:dyDescent="0.25">
      <c r="A150" s="2"/>
      <c r="B150" s="2"/>
      <c r="C150" s="2"/>
      <c r="D150" s="2"/>
      <c r="E150" s="2"/>
      <c r="F150" s="2"/>
      <c r="G150" s="2"/>
      <c r="H150" s="2"/>
      <c r="I150" s="2"/>
      <c r="J150" s="92"/>
      <c r="K150" s="2"/>
      <c r="L150" s="92"/>
      <c r="M150" s="2"/>
      <c r="N150" s="2"/>
      <c r="O150" s="2"/>
      <c r="P150" s="3"/>
      <c r="Q150" s="2"/>
      <c r="R150" s="2"/>
      <c r="S150" s="2"/>
      <c r="T150" s="2"/>
      <c r="U150" s="1"/>
    </row>
    <row r="151" spans="1:21" ht="20.100000000000001" customHeight="1" x14ac:dyDescent="0.25">
      <c r="A151" s="2"/>
      <c r="B151" s="2"/>
      <c r="C151" s="2"/>
      <c r="D151" s="2"/>
      <c r="E151" s="2"/>
      <c r="F151" s="2"/>
      <c r="G151" s="2"/>
      <c r="H151" s="2"/>
      <c r="I151" s="2"/>
      <c r="J151" s="92"/>
      <c r="K151" s="2"/>
      <c r="L151" s="92"/>
      <c r="M151" s="2"/>
      <c r="N151" s="2"/>
      <c r="O151" s="2"/>
      <c r="P151" s="3"/>
      <c r="Q151" s="2"/>
      <c r="R151" s="2"/>
      <c r="S151" s="2"/>
      <c r="T151" s="2"/>
      <c r="U151" s="1"/>
    </row>
    <row r="152" spans="1:21" ht="20.100000000000001" customHeight="1" x14ac:dyDescent="0.25">
      <c r="A152" s="2"/>
      <c r="B152" s="2"/>
      <c r="C152" s="2"/>
      <c r="D152" s="2"/>
      <c r="E152" s="2"/>
      <c r="F152" s="2"/>
      <c r="G152" s="2"/>
      <c r="H152" s="2"/>
      <c r="I152" s="2"/>
      <c r="J152" s="92"/>
      <c r="K152" s="2"/>
      <c r="L152" s="92"/>
      <c r="M152" s="2"/>
      <c r="N152" s="2"/>
      <c r="O152" s="2"/>
      <c r="P152" s="3"/>
      <c r="Q152" s="2"/>
      <c r="R152" s="2"/>
      <c r="S152" s="2"/>
      <c r="T152" s="2"/>
      <c r="U152" s="1"/>
    </row>
    <row r="153" spans="1:21" ht="20.100000000000001" customHeight="1" x14ac:dyDescent="0.25">
      <c r="A153" s="2"/>
      <c r="B153" s="2"/>
      <c r="C153" s="2"/>
      <c r="D153" s="2"/>
      <c r="E153" s="2"/>
      <c r="F153" s="2"/>
      <c r="G153" s="2"/>
      <c r="H153" s="2"/>
      <c r="I153" s="2"/>
      <c r="J153" s="92"/>
      <c r="K153" s="2"/>
      <c r="L153" s="92"/>
      <c r="M153" s="2"/>
      <c r="N153" s="2"/>
      <c r="O153" s="2"/>
      <c r="P153" s="3"/>
      <c r="Q153" s="2"/>
      <c r="R153" s="2"/>
      <c r="S153" s="2"/>
      <c r="T153" s="2"/>
      <c r="U153" s="1"/>
    </row>
    <row r="154" spans="1:21" ht="20.100000000000001" customHeight="1" x14ac:dyDescent="0.25">
      <c r="A154" s="2"/>
      <c r="B154" s="2"/>
      <c r="C154" s="2"/>
      <c r="D154" s="2"/>
      <c r="E154" s="2"/>
      <c r="F154" s="2"/>
      <c r="G154" s="2"/>
      <c r="H154" s="2"/>
      <c r="I154" s="2"/>
      <c r="J154" s="92"/>
      <c r="K154" s="2"/>
      <c r="L154" s="92"/>
      <c r="M154" s="2"/>
      <c r="N154" s="2"/>
      <c r="O154" s="2"/>
      <c r="P154" s="3"/>
      <c r="Q154" s="2"/>
      <c r="R154" s="2"/>
      <c r="S154" s="2"/>
      <c r="T154" s="2"/>
      <c r="U154" s="1"/>
    </row>
    <row r="155" spans="1:21" ht="20.100000000000001" customHeight="1" x14ac:dyDescent="0.25">
      <c r="A155" s="2"/>
      <c r="B155" s="2"/>
      <c r="C155" s="2"/>
      <c r="D155" s="2"/>
      <c r="E155" s="2"/>
      <c r="F155" s="2"/>
      <c r="G155" s="2"/>
      <c r="H155" s="2"/>
      <c r="I155" s="2"/>
      <c r="J155" s="92"/>
      <c r="K155" s="2"/>
      <c r="L155" s="92"/>
      <c r="M155" s="2"/>
      <c r="N155" s="2"/>
      <c r="O155" s="2"/>
      <c r="P155" s="3"/>
      <c r="Q155" s="2"/>
      <c r="R155" s="2"/>
      <c r="S155" s="2"/>
      <c r="T155" s="2"/>
      <c r="U155" s="1"/>
    </row>
    <row r="156" spans="1:21" ht="20.100000000000001" customHeight="1" x14ac:dyDescent="0.25">
      <c r="A156" s="2"/>
      <c r="B156" s="2"/>
      <c r="C156" s="2"/>
      <c r="D156" s="2"/>
      <c r="E156" s="2"/>
      <c r="F156" s="2"/>
      <c r="G156" s="2"/>
      <c r="H156" s="2"/>
      <c r="I156" s="2"/>
      <c r="J156" s="92"/>
      <c r="K156" s="2"/>
      <c r="L156" s="92"/>
      <c r="M156" s="2"/>
      <c r="N156" s="2"/>
      <c r="O156" s="2"/>
      <c r="P156" s="3"/>
      <c r="Q156" s="2"/>
      <c r="R156" s="2"/>
      <c r="S156" s="2"/>
      <c r="T156" s="2"/>
      <c r="U156" s="1"/>
    </row>
    <row r="157" spans="1:21" ht="20.100000000000001" customHeight="1" x14ac:dyDescent="0.25">
      <c r="A157" s="2"/>
      <c r="B157" s="2"/>
      <c r="C157" s="2"/>
      <c r="D157" s="2"/>
      <c r="E157" s="2"/>
      <c r="F157" s="2"/>
      <c r="G157" s="2"/>
      <c r="H157" s="2"/>
      <c r="I157" s="2"/>
      <c r="J157" s="92"/>
      <c r="K157" s="2"/>
      <c r="L157" s="92"/>
      <c r="M157" s="2"/>
      <c r="N157" s="2"/>
      <c r="O157" s="2"/>
      <c r="P157" s="3"/>
      <c r="Q157" s="2"/>
      <c r="R157" s="2"/>
      <c r="S157" s="2"/>
      <c r="T157" s="2"/>
      <c r="U157" s="1"/>
    </row>
    <row r="158" spans="1:21" ht="20.100000000000001" customHeight="1" x14ac:dyDescent="0.25">
      <c r="A158" s="2"/>
      <c r="B158" s="2"/>
      <c r="C158" s="2"/>
      <c r="D158" s="2"/>
      <c r="E158" s="2"/>
      <c r="F158" s="2"/>
      <c r="G158" s="2"/>
      <c r="H158" s="2"/>
      <c r="I158" s="2"/>
      <c r="J158" s="92"/>
      <c r="K158" s="2"/>
      <c r="L158" s="92"/>
      <c r="M158" s="2"/>
      <c r="N158" s="2"/>
      <c r="O158" s="2"/>
      <c r="P158" s="3"/>
      <c r="Q158" s="2"/>
      <c r="R158" s="2"/>
      <c r="S158" s="2"/>
      <c r="T158" s="2"/>
      <c r="U158" s="1"/>
    </row>
    <row r="159" spans="1:21" ht="20.100000000000001" customHeight="1" x14ac:dyDescent="0.25">
      <c r="A159" s="2"/>
      <c r="B159" s="2"/>
      <c r="C159" s="2"/>
      <c r="D159" s="2"/>
      <c r="E159" s="2"/>
      <c r="F159" s="2"/>
      <c r="G159" s="2"/>
      <c r="H159" s="2"/>
      <c r="I159" s="2"/>
      <c r="J159" s="92"/>
      <c r="K159" s="2"/>
      <c r="L159" s="92"/>
      <c r="M159" s="2"/>
      <c r="N159" s="2"/>
      <c r="O159" s="2"/>
      <c r="P159" s="3"/>
      <c r="Q159" s="2"/>
      <c r="R159" s="2"/>
      <c r="S159" s="2"/>
      <c r="T159" s="2"/>
      <c r="U159" s="1"/>
    </row>
    <row r="160" spans="1:21" ht="20.100000000000001" customHeight="1" x14ac:dyDescent="0.25">
      <c r="A160" s="2"/>
      <c r="B160" s="2"/>
      <c r="C160" s="2"/>
      <c r="D160" s="2"/>
      <c r="E160" s="2"/>
      <c r="F160" s="2"/>
      <c r="G160" s="2"/>
      <c r="H160" s="2"/>
      <c r="I160" s="2"/>
      <c r="J160" s="92"/>
      <c r="K160" s="2"/>
      <c r="L160" s="92"/>
      <c r="M160" s="2"/>
      <c r="N160" s="2"/>
      <c r="O160" s="2"/>
      <c r="P160" s="3"/>
      <c r="Q160" s="2"/>
      <c r="R160" s="2"/>
      <c r="S160" s="2"/>
      <c r="T160" s="2"/>
      <c r="U160" s="1"/>
    </row>
    <row r="161" spans="1:21" ht="20.100000000000001" customHeight="1" x14ac:dyDescent="0.25">
      <c r="A161" s="2"/>
      <c r="B161" s="2"/>
      <c r="C161" s="2"/>
      <c r="D161" s="2"/>
      <c r="E161" s="2"/>
      <c r="F161" s="2"/>
      <c r="G161" s="2"/>
      <c r="H161" s="2"/>
      <c r="I161" s="2"/>
      <c r="J161" s="92"/>
      <c r="K161" s="2"/>
      <c r="L161" s="92"/>
      <c r="M161" s="2"/>
      <c r="N161" s="2"/>
      <c r="O161" s="2"/>
      <c r="P161" s="3"/>
      <c r="Q161" s="2"/>
      <c r="R161" s="2"/>
      <c r="S161" s="2"/>
      <c r="T161" s="2"/>
      <c r="U161" s="1"/>
    </row>
    <row r="162" spans="1:21" ht="20.100000000000001" customHeight="1" x14ac:dyDescent="0.25">
      <c r="A162" s="2"/>
      <c r="B162" s="2"/>
      <c r="C162" s="2"/>
      <c r="D162" s="2"/>
      <c r="E162" s="2"/>
      <c r="F162" s="2"/>
      <c r="G162" s="2"/>
      <c r="H162" s="2"/>
      <c r="I162" s="2"/>
      <c r="J162" s="92"/>
      <c r="K162" s="2"/>
      <c r="L162" s="92"/>
      <c r="M162" s="2"/>
      <c r="N162" s="2"/>
      <c r="O162" s="2"/>
      <c r="P162" s="3"/>
      <c r="Q162" s="2"/>
      <c r="R162" s="2"/>
      <c r="S162" s="2"/>
      <c r="T162" s="2"/>
      <c r="U162" s="1"/>
    </row>
    <row r="163" spans="1:21" ht="20.100000000000001" customHeight="1" x14ac:dyDescent="0.25">
      <c r="A163" s="2"/>
      <c r="B163" s="2"/>
      <c r="C163" s="2"/>
      <c r="D163" s="2"/>
      <c r="E163" s="2"/>
      <c r="F163" s="2"/>
      <c r="G163" s="2"/>
      <c r="H163" s="2"/>
      <c r="I163" s="2"/>
      <c r="J163" s="92"/>
      <c r="K163" s="2"/>
      <c r="L163" s="92"/>
      <c r="M163" s="2"/>
      <c r="N163" s="2"/>
      <c r="O163" s="2"/>
      <c r="P163" s="3"/>
      <c r="Q163" s="2"/>
      <c r="R163" s="2"/>
      <c r="S163" s="2"/>
      <c r="T163" s="2"/>
      <c r="U163" s="1"/>
    </row>
    <row r="164" spans="1:21" ht="20.100000000000001" customHeight="1" x14ac:dyDescent="0.25">
      <c r="A164" s="2"/>
      <c r="B164" s="2"/>
      <c r="C164" s="2"/>
      <c r="D164" s="2"/>
      <c r="E164" s="2"/>
      <c r="F164" s="2"/>
      <c r="G164" s="2"/>
      <c r="H164" s="2"/>
      <c r="I164" s="2"/>
      <c r="J164" s="92"/>
      <c r="K164" s="2"/>
      <c r="L164" s="92"/>
      <c r="M164" s="2"/>
      <c r="N164" s="2"/>
      <c r="O164" s="2"/>
      <c r="P164" s="3"/>
      <c r="Q164" s="2"/>
      <c r="R164" s="2"/>
      <c r="S164" s="2"/>
      <c r="T164" s="2"/>
      <c r="U164" s="1"/>
    </row>
    <row r="165" spans="1:21" ht="20.100000000000001" customHeight="1" x14ac:dyDescent="0.25">
      <c r="A165" s="2"/>
      <c r="B165" s="2"/>
      <c r="C165" s="2"/>
      <c r="D165" s="2"/>
      <c r="E165" s="2"/>
      <c r="F165" s="2"/>
      <c r="G165" s="2"/>
      <c r="H165" s="2"/>
      <c r="I165" s="2"/>
      <c r="J165" s="92"/>
      <c r="K165" s="2"/>
      <c r="L165" s="92"/>
      <c r="M165" s="2"/>
      <c r="N165" s="2"/>
      <c r="O165" s="2"/>
      <c r="P165" s="3"/>
      <c r="Q165" s="2"/>
      <c r="R165" s="2"/>
      <c r="S165" s="2"/>
      <c r="T165" s="2"/>
      <c r="U165" s="1"/>
    </row>
    <row r="166" spans="1:21" ht="20.100000000000001" customHeight="1" x14ac:dyDescent="0.25">
      <c r="A166" s="2"/>
      <c r="B166" s="2"/>
      <c r="C166" s="2"/>
      <c r="D166" s="2"/>
      <c r="E166" s="2"/>
      <c r="F166" s="2"/>
      <c r="G166" s="2"/>
      <c r="H166" s="2"/>
      <c r="I166" s="2"/>
      <c r="J166" s="92"/>
      <c r="K166" s="2"/>
      <c r="L166" s="92"/>
      <c r="M166" s="2"/>
      <c r="N166" s="2"/>
      <c r="O166" s="2"/>
      <c r="P166" s="3"/>
      <c r="Q166" s="2"/>
      <c r="R166" s="2"/>
      <c r="S166" s="2"/>
      <c r="T166" s="2"/>
      <c r="U166" s="1"/>
    </row>
    <row r="167" spans="1:21" ht="20.100000000000001" customHeight="1" x14ac:dyDescent="0.25">
      <c r="A167" s="2"/>
      <c r="B167" s="2"/>
      <c r="C167" s="2"/>
      <c r="D167" s="2"/>
      <c r="E167" s="2"/>
      <c r="F167" s="2"/>
      <c r="G167" s="2"/>
      <c r="H167" s="2"/>
      <c r="I167" s="2"/>
      <c r="J167" s="92"/>
      <c r="K167" s="2"/>
      <c r="L167" s="92"/>
      <c r="M167" s="2"/>
      <c r="N167" s="2"/>
      <c r="O167" s="2"/>
      <c r="P167" s="3"/>
      <c r="Q167" s="2"/>
      <c r="R167" s="2"/>
      <c r="S167" s="2"/>
      <c r="T167" s="2"/>
      <c r="U167" s="1"/>
    </row>
    <row r="168" spans="1:21" ht="20.100000000000001" customHeight="1" x14ac:dyDescent="0.25">
      <c r="A168" s="2"/>
      <c r="B168" s="2"/>
      <c r="C168" s="2"/>
      <c r="D168" s="2"/>
      <c r="E168" s="2"/>
      <c r="F168" s="2"/>
      <c r="G168" s="2"/>
      <c r="H168" s="2"/>
      <c r="I168" s="2"/>
      <c r="J168" s="92"/>
      <c r="K168" s="2"/>
      <c r="L168" s="92"/>
      <c r="M168" s="2"/>
      <c r="N168" s="2"/>
      <c r="O168" s="2"/>
      <c r="P168" s="3"/>
      <c r="Q168" s="2"/>
      <c r="R168" s="2"/>
      <c r="S168" s="2"/>
      <c r="T168" s="2"/>
      <c r="U168" s="1"/>
    </row>
    <row r="169" spans="1:21" ht="20.100000000000001" customHeight="1" x14ac:dyDescent="0.25">
      <c r="A169" s="2"/>
      <c r="B169" s="2"/>
      <c r="C169" s="2"/>
      <c r="D169" s="2"/>
      <c r="E169" s="2"/>
      <c r="F169" s="2"/>
      <c r="G169" s="2"/>
      <c r="H169" s="2"/>
      <c r="I169" s="2"/>
      <c r="J169" s="92"/>
      <c r="K169" s="2"/>
      <c r="L169" s="92"/>
      <c r="M169" s="2"/>
      <c r="N169" s="2"/>
      <c r="O169" s="2"/>
      <c r="P169" s="3"/>
      <c r="Q169" s="2"/>
      <c r="R169" s="2"/>
      <c r="S169" s="2"/>
      <c r="T169" s="2"/>
      <c r="U169" s="1"/>
    </row>
    <row r="170" spans="1:21" ht="20.100000000000001" customHeight="1" x14ac:dyDescent="0.25">
      <c r="A170" s="2"/>
      <c r="B170" s="2"/>
      <c r="C170" s="2"/>
      <c r="D170" s="2"/>
      <c r="E170" s="2"/>
      <c r="F170" s="2"/>
      <c r="G170" s="2"/>
      <c r="H170" s="2"/>
      <c r="I170" s="2"/>
      <c r="J170" s="92"/>
      <c r="K170" s="2"/>
      <c r="L170" s="92"/>
      <c r="M170" s="2"/>
      <c r="N170" s="2"/>
      <c r="O170" s="2"/>
      <c r="P170" s="3"/>
      <c r="Q170" s="2"/>
      <c r="R170" s="2"/>
      <c r="S170" s="2"/>
      <c r="T170" s="2"/>
      <c r="U170" s="1"/>
    </row>
    <row r="171" spans="1:21" ht="20.100000000000001" customHeight="1" x14ac:dyDescent="0.25">
      <c r="A171" s="2"/>
      <c r="B171" s="2"/>
      <c r="C171" s="2"/>
      <c r="D171" s="2"/>
      <c r="E171" s="2"/>
      <c r="F171" s="2"/>
      <c r="G171" s="2"/>
      <c r="H171" s="2"/>
      <c r="I171" s="2"/>
      <c r="J171" s="92"/>
      <c r="K171" s="2"/>
      <c r="L171" s="92"/>
      <c r="M171" s="2"/>
      <c r="N171" s="2"/>
      <c r="O171" s="2"/>
      <c r="P171" s="3"/>
      <c r="Q171" s="2"/>
      <c r="R171" s="2"/>
      <c r="S171" s="2"/>
      <c r="T171" s="2"/>
      <c r="U171" s="1"/>
    </row>
    <row r="172" spans="1:21" ht="20.100000000000001" customHeight="1" x14ac:dyDescent="0.25">
      <c r="A172" s="2"/>
      <c r="B172" s="2"/>
      <c r="C172" s="2"/>
      <c r="D172" s="2"/>
      <c r="E172" s="2"/>
      <c r="F172" s="2"/>
      <c r="G172" s="2"/>
      <c r="H172" s="2"/>
      <c r="I172" s="2"/>
      <c r="J172" s="92"/>
      <c r="K172" s="2"/>
      <c r="L172" s="92"/>
      <c r="M172" s="2"/>
      <c r="N172" s="2"/>
      <c r="O172" s="2"/>
      <c r="P172" s="3"/>
      <c r="Q172" s="2"/>
      <c r="R172" s="2"/>
      <c r="S172" s="2"/>
      <c r="T172" s="2"/>
      <c r="U172" s="1"/>
    </row>
    <row r="173" spans="1:21" ht="20.100000000000001" customHeight="1" x14ac:dyDescent="0.25">
      <c r="A173" s="2"/>
      <c r="B173" s="2"/>
      <c r="C173" s="2"/>
      <c r="D173" s="2"/>
      <c r="E173" s="2"/>
      <c r="F173" s="2"/>
      <c r="G173" s="2"/>
      <c r="H173" s="2"/>
      <c r="I173" s="2"/>
      <c r="J173" s="92"/>
      <c r="K173" s="2"/>
      <c r="L173" s="92"/>
      <c r="M173" s="2"/>
      <c r="N173" s="2"/>
      <c r="O173" s="2"/>
      <c r="P173" s="3"/>
      <c r="Q173" s="2"/>
      <c r="R173" s="2"/>
      <c r="S173" s="2"/>
      <c r="T173" s="2"/>
      <c r="U173" s="1"/>
    </row>
    <row r="174" spans="1:21" ht="20.100000000000001" customHeight="1" x14ac:dyDescent="0.25">
      <c r="A174" s="2"/>
      <c r="B174" s="2"/>
      <c r="C174" s="2"/>
      <c r="D174" s="2"/>
      <c r="E174" s="2"/>
      <c r="F174" s="2"/>
      <c r="G174" s="2"/>
      <c r="H174" s="2"/>
      <c r="I174" s="2"/>
      <c r="J174" s="92"/>
      <c r="K174" s="2"/>
      <c r="L174" s="92"/>
      <c r="M174" s="2"/>
      <c r="N174" s="2"/>
      <c r="O174" s="2"/>
      <c r="P174" s="3"/>
      <c r="Q174" s="2"/>
      <c r="R174" s="2"/>
      <c r="S174" s="2"/>
      <c r="T174" s="2"/>
      <c r="U174" s="1"/>
    </row>
    <row r="175" spans="1:21" ht="20.100000000000001" customHeight="1" x14ac:dyDescent="0.25">
      <c r="A175" s="2"/>
      <c r="B175" s="2"/>
      <c r="C175" s="2"/>
      <c r="D175" s="2"/>
      <c r="E175" s="2"/>
      <c r="F175" s="2"/>
      <c r="G175" s="2"/>
      <c r="H175" s="2"/>
      <c r="I175" s="2"/>
      <c r="J175" s="92"/>
      <c r="K175" s="2"/>
      <c r="L175" s="92"/>
      <c r="M175" s="2"/>
      <c r="N175" s="2"/>
      <c r="O175" s="2"/>
      <c r="P175" s="3"/>
      <c r="Q175" s="2"/>
      <c r="R175" s="2"/>
      <c r="S175" s="2"/>
      <c r="T175" s="2"/>
      <c r="U175" s="1"/>
    </row>
    <row r="176" spans="1:21" ht="20.100000000000001" customHeight="1" x14ac:dyDescent="0.25">
      <c r="A176" s="2"/>
      <c r="B176" s="2"/>
      <c r="C176" s="2"/>
      <c r="D176" s="2"/>
      <c r="E176" s="2"/>
      <c r="F176" s="2"/>
      <c r="G176" s="2"/>
      <c r="H176" s="2"/>
      <c r="I176" s="2"/>
      <c r="J176" s="92"/>
      <c r="K176" s="2"/>
      <c r="L176" s="92"/>
      <c r="M176" s="2"/>
      <c r="N176" s="2"/>
      <c r="O176" s="2"/>
      <c r="P176" s="3"/>
      <c r="Q176" s="2"/>
      <c r="R176" s="2"/>
      <c r="S176" s="2"/>
      <c r="T176" s="2"/>
      <c r="U176" s="1"/>
    </row>
    <row r="177" spans="1:21" ht="20.100000000000001" customHeight="1" x14ac:dyDescent="0.25">
      <c r="A177" s="2"/>
      <c r="B177" s="2"/>
      <c r="C177" s="2"/>
      <c r="D177" s="2"/>
      <c r="E177" s="2"/>
      <c r="F177" s="2"/>
      <c r="G177" s="2"/>
      <c r="H177" s="2"/>
      <c r="I177" s="2"/>
      <c r="J177" s="92"/>
      <c r="K177" s="2"/>
      <c r="L177" s="92"/>
      <c r="M177" s="2"/>
      <c r="N177" s="2"/>
      <c r="O177" s="2"/>
      <c r="P177" s="3"/>
      <c r="Q177" s="2"/>
      <c r="R177" s="2"/>
      <c r="S177" s="2"/>
      <c r="T177" s="2"/>
      <c r="U177" s="1"/>
    </row>
    <row r="178" spans="1:21" ht="20.100000000000001" customHeight="1" x14ac:dyDescent="0.25">
      <c r="A178" s="2"/>
      <c r="B178" s="2"/>
      <c r="C178" s="2"/>
      <c r="D178" s="2"/>
      <c r="E178" s="2"/>
      <c r="F178" s="2"/>
      <c r="G178" s="2"/>
      <c r="H178" s="2"/>
      <c r="I178" s="2"/>
      <c r="J178" s="92"/>
      <c r="K178" s="2"/>
      <c r="L178" s="92"/>
      <c r="M178" s="2"/>
      <c r="N178" s="2"/>
      <c r="O178" s="2"/>
      <c r="P178" s="3"/>
      <c r="Q178" s="2"/>
      <c r="R178" s="2"/>
      <c r="S178" s="2"/>
      <c r="T178" s="2"/>
      <c r="U178" s="1"/>
    </row>
    <row r="179" spans="1:21" ht="20.100000000000001" customHeight="1" x14ac:dyDescent="0.25">
      <c r="A179" s="2"/>
      <c r="B179" s="2"/>
      <c r="C179" s="2"/>
      <c r="D179" s="2"/>
      <c r="E179" s="2"/>
      <c r="F179" s="2"/>
      <c r="G179" s="2"/>
      <c r="H179" s="2"/>
      <c r="I179" s="2"/>
      <c r="J179" s="92"/>
      <c r="K179" s="2"/>
      <c r="L179" s="92"/>
      <c r="M179" s="2"/>
      <c r="N179" s="2"/>
      <c r="O179" s="2"/>
      <c r="P179" s="3"/>
      <c r="Q179" s="2"/>
      <c r="R179" s="2"/>
      <c r="S179" s="2"/>
      <c r="T179" s="2"/>
      <c r="U179" s="1"/>
    </row>
    <row r="180" spans="1:21" ht="20.100000000000001" customHeight="1" x14ac:dyDescent="0.25">
      <c r="A180" s="2"/>
      <c r="B180" s="2"/>
      <c r="C180" s="2"/>
      <c r="D180" s="2"/>
      <c r="E180" s="2"/>
      <c r="F180" s="2"/>
      <c r="G180" s="2"/>
      <c r="H180" s="2"/>
      <c r="I180" s="2"/>
      <c r="J180" s="92"/>
      <c r="K180" s="2"/>
      <c r="L180" s="92"/>
      <c r="M180" s="2"/>
      <c r="N180" s="2"/>
      <c r="O180" s="2"/>
      <c r="P180" s="3"/>
      <c r="Q180" s="2"/>
      <c r="R180" s="2"/>
      <c r="S180" s="2"/>
      <c r="T180" s="2"/>
      <c r="U180" s="1"/>
    </row>
    <row r="181" spans="1:21" ht="20.100000000000001" customHeight="1" x14ac:dyDescent="0.25">
      <c r="A181" s="2"/>
      <c r="B181" s="2"/>
      <c r="C181" s="2"/>
      <c r="D181" s="2"/>
      <c r="E181" s="2"/>
      <c r="F181" s="2"/>
      <c r="G181" s="2"/>
      <c r="H181" s="2"/>
      <c r="I181" s="2"/>
      <c r="J181" s="92"/>
      <c r="K181" s="2"/>
      <c r="L181" s="92"/>
      <c r="M181" s="2"/>
      <c r="N181" s="2"/>
      <c r="O181" s="2"/>
      <c r="P181" s="3"/>
      <c r="Q181" s="2"/>
      <c r="R181" s="2"/>
      <c r="S181" s="2"/>
      <c r="T181" s="2"/>
      <c r="U181" s="1"/>
    </row>
    <row r="182" spans="1:21" ht="20.100000000000001" customHeight="1" x14ac:dyDescent="0.25">
      <c r="A182" s="2"/>
      <c r="B182" s="2"/>
      <c r="C182" s="2"/>
      <c r="D182" s="2"/>
      <c r="E182" s="2"/>
      <c r="F182" s="2"/>
      <c r="G182" s="2"/>
      <c r="H182" s="2"/>
      <c r="I182" s="2"/>
      <c r="J182" s="92"/>
      <c r="K182" s="2"/>
      <c r="L182" s="92"/>
      <c r="M182" s="2"/>
      <c r="N182" s="2"/>
      <c r="O182" s="2"/>
      <c r="P182" s="3"/>
      <c r="Q182" s="2"/>
      <c r="R182" s="2"/>
      <c r="S182" s="2"/>
      <c r="T182" s="2"/>
      <c r="U182" s="1"/>
    </row>
    <row r="183" spans="1:21" ht="20.100000000000001" customHeight="1" x14ac:dyDescent="0.25">
      <c r="A183" s="2"/>
      <c r="B183" s="2"/>
      <c r="C183" s="2"/>
      <c r="D183" s="2"/>
      <c r="E183" s="2"/>
      <c r="F183" s="2"/>
      <c r="G183" s="2"/>
      <c r="H183" s="2"/>
      <c r="I183" s="2"/>
      <c r="J183" s="92"/>
      <c r="K183" s="2"/>
      <c r="L183" s="92"/>
      <c r="M183" s="2"/>
      <c r="N183" s="2"/>
      <c r="O183" s="2"/>
      <c r="P183" s="3"/>
      <c r="Q183" s="2"/>
      <c r="R183" s="2"/>
      <c r="S183" s="2"/>
      <c r="T183" s="2"/>
      <c r="U183" s="1"/>
    </row>
    <row r="184" spans="1:21" ht="20.100000000000001" customHeight="1" x14ac:dyDescent="0.25">
      <c r="A184" s="2"/>
      <c r="B184" s="2"/>
      <c r="C184" s="2"/>
      <c r="D184" s="2"/>
      <c r="E184" s="2"/>
      <c r="F184" s="2"/>
      <c r="G184" s="2"/>
      <c r="H184" s="2"/>
      <c r="I184" s="2"/>
      <c r="J184" s="92"/>
      <c r="K184" s="2"/>
      <c r="L184" s="92"/>
      <c r="M184" s="2"/>
      <c r="N184" s="2"/>
      <c r="O184" s="2"/>
      <c r="P184" s="3"/>
      <c r="Q184" s="2"/>
      <c r="R184" s="2"/>
      <c r="S184" s="2"/>
      <c r="T184" s="2"/>
      <c r="U184" s="1"/>
    </row>
    <row r="185" spans="1:21" ht="20.100000000000001" customHeight="1" x14ac:dyDescent="0.25">
      <c r="A185" s="2"/>
      <c r="B185" s="2"/>
      <c r="C185" s="2"/>
      <c r="D185" s="2"/>
      <c r="E185" s="2"/>
      <c r="F185" s="2"/>
      <c r="G185" s="2"/>
      <c r="H185" s="2"/>
      <c r="I185" s="2"/>
      <c r="J185" s="92"/>
      <c r="K185" s="2"/>
      <c r="L185" s="92"/>
      <c r="M185" s="2"/>
      <c r="N185" s="2"/>
      <c r="O185" s="2"/>
      <c r="P185" s="3"/>
      <c r="Q185" s="2"/>
      <c r="R185" s="2"/>
      <c r="S185" s="2"/>
      <c r="T185" s="2"/>
      <c r="U185" s="1"/>
    </row>
    <row r="186" spans="1:21" ht="20.100000000000001" customHeight="1" x14ac:dyDescent="0.25">
      <c r="A186" s="2"/>
      <c r="B186" s="2"/>
      <c r="C186" s="2"/>
      <c r="D186" s="2"/>
      <c r="E186" s="2"/>
      <c r="F186" s="2"/>
      <c r="G186" s="2"/>
      <c r="H186" s="2"/>
      <c r="I186" s="2"/>
      <c r="J186" s="92"/>
      <c r="K186" s="2"/>
      <c r="L186" s="92"/>
      <c r="M186" s="2"/>
      <c r="N186" s="2"/>
      <c r="O186" s="2"/>
      <c r="P186" s="3"/>
      <c r="Q186" s="2"/>
      <c r="R186" s="2"/>
      <c r="S186" s="2"/>
      <c r="T186" s="2"/>
      <c r="U186" s="1"/>
    </row>
    <row r="187" spans="1:21" ht="20.100000000000001" customHeight="1" x14ac:dyDescent="0.25">
      <c r="A187" s="2"/>
      <c r="B187" s="2"/>
      <c r="C187" s="2"/>
      <c r="D187" s="2"/>
      <c r="E187" s="2"/>
      <c r="F187" s="2"/>
      <c r="G187" s="2"/>
      <c r="H187" s="2"/>
      <c r="I187" s="2"/>
      <c r="J187" s="92"/>
      <c r="K187" s="2"/>
      <c r="L187" s="92"/>
      <c r="M187" s="2"/>
      <c r="N187" s="2"/>
      <c r="O187" s="2"/>
      <c r="P187" s="3"/>
      <c r="Q187" s="2"/>
      <c r="R187" s="2"/>
      <c r="S187" s="2"/>
      <c r="T187" s="2"/>
      <c r="U187" s="1"/>
    </row>
    <row r="188" spans="1:21" ht="20.100000000000001" customHeight="1" x14ac:dyDescent="0.25">
      <c r="A188" s="2"/>
      <c r="B188" s="2"/>
      <c r="C188" s="2"/>
      <c r="D188" s="2"/>
      <c r="E188" s="2"/>
      <c r="F188" s="2"/>
      <c r="G188" s="2"/>
      <c r="H188" s="2"/>
      <c r="I188" s="2"/>
      <c r="J188" s="92"/>
      <c r="K188" s="2"/>
      <c r="L188" s="92"/>
      <c r="M188" s="2"/>
      <c r="N188" s="2"/>
      <c r="O188" s="2"/>
      <c r="P188" s="3"/>
      <c r="Q188" s="2"/>
      <c r="R188" s="2"/>
      <c r="S188" s="2"/>
      <c r="T188" s="2"/>
      <c r="U188" s="1"/>
    </row>
    <row r="189" spans="1:21" ht="20.100000000000001" customHeight="1" x14ac:dyDescent="0.25">
      <c r="A189" s="2"/>
      <c r="B189" s="2"/>
      <c r="C189" s="2"/>
      <c r="D189" s="2"/>
      <c r="E189" s="2"/>
      <c r="F189" s="2"/>
      <c r="G189" s="2"/>
      <c r="H189" s="2"/>
      <c r="I189" s="2"/>
      <c r="J189" s="92"/>
      <c r="K189" s="2"/>
      <c r="L189" s="92"/>
      <c r="M189" s="2"/>
      <c r="N189" s="2"/>
      <c r="O189" s="2"/>
      <c r="P189" s="3"/>
      <c r="Q189" s="2"/>
      <c r="R189" s="2"/>
      <c r="S189" s="2"/>
      <c r="T189" s="2"/>
      <c r="U189" s="1"/>
    </row>
    <row r="190" spans="1:21" ht="20.100000000000001" customHeight="1" x14ac:dyDescent="0.25">
      <c r="A190" s="2"/>
      <c r="B190" s="2"/>
      <c r="C190" s="2"/>
      <c r="D190" s="2"/>
      <c r="E190" s="2"/>
      <c r="F190" s="2"/>
      <c r="G190" s="2"/>
      <c r="H190" s="2"/>
      <c r="I190" s="2"/>
      <c r="J190" s="92"/>
      <c r="K190" s="2"/>
      <c r="L190" s="92"/>
      <c r="M190" s="2"/>
      <c r="N190" s="2"/>
      <c r="O190" s="2"/>
      <c r="P190" s="3"/>
      <c r="Q190" s="2"/>
      <c r="R190" s="2"/>
      <c r="S190" s="2"/>
      <c r="T190" s="2"/>
      <c r="U190" s="1"/>
    </row>
    <row r="191" spans="1:21" ht="20.100000000000001" customHeight="1" x14ac:dyDescent="0.25">
      <c r="A191" s="2"/>
      <c r="B191" s="2"/>
      <c r="C191" s="2"/>
      <c r="D191" s="2"/>
      <c r="E191" s="2"/>
      <c r="F191" s="2"/>
      <c r="G191" s="2"/>
      <c r="H191" s="2"/>
      <c r="I191" s="2"/>
      <c r="J191" s="92"/>
      <c r="K191" s="2"/>
      <c r="L191" s="92"/>
      <c r="M191" s="2"/>
      <c r="N191" s="2"/>
      <c r="O191" s="2"/>
      <c r="P191" s="3"/>
      <c r="Q191" s="2"/>
      <c r="R191" s="2"/>
      <c r="S191" s="2"/>
      <c r="T191" s="2"/>
      <c r="U191" s="1"/>
    </row>
    <row r="192" spans="1:21" ht="20.100000000000001" customHeight="1" x14ac:dyDescent="0.25">
      <c r="A192" s="2"/>
      <c r="B192" s="2"/>
      <c r="C192" s="2"/>
      <c r="D192" s="2"/>
      <c r="E192" s="2"/>
      <c r="F192" s="2"/>
      <c r="G192" s="2"/>
      <c r="H192" s="2"/>
      <c r="I192" s="2"/>
      <c r="J192" s="92"/>
      <c r="K192" s="2"/>
      <c r="L192" s="92"/>
      <c r="M192" s="2"/>
      <c r="N192" s="2"/>
      <c r="O192" s="2"/>
      <c r="P192" s="3"/>
      <c r="Q192" s="2"/>
      <c r="R192" s="2"/>
      <c r="S192" s="2"/>
      <c r="T192" s="2"/>
      <c r="U192" s="1"/>
    </row>
    <row r="193" spans="1:21" ht="20.100000000000001" customHeight="1" x14ac:dyDescent="0.25">
      <c r="A193" s="2"/>
      <c r="B193" s="2"/>
      <c r="C193" s="2"/>
      <c r="D193" s="2"/>
      <c r="E193" s="2"/>
      <c r="F193" s="2"/>
      <c r="G193" s="2"/>
      <c r="H193" s="2"/>
      <c r="I193" s="2"/>
      <c r="J193" s="92"/>
      <c r="K193" s="2"/>
      <c r="L193" s="92"/>
      <c r="M193" s="2"/>
      <c r="N193" s="2"/>
      <c r="O193" s="2"/>
      <c r="P193" s="3"/>
      <c r="Q193" s="2"/>
      <c r="R193" s="2"/>
      <c r="S193" s="2"/>
      <c r="T193" s="2"/>
      <c r="U193" s="1"/>
    </row>
    <row r="194" spans="1:21" ht="20.100000000000001" customHeight="1" x14ac:dyDescent="0.25">
      <c r="A194" s="2"/>
      <c r="B194" s="2"/>
      <c r="C194" s="2"/>
      <c r="D194" s="2"/>
      <c r="E194" s="2"/>
      <c r="F194" s="2"/>
      <c r="G194" s="2"/>
      <c r="H194" s="2"/>
      <c r="I194" s="2"/>
      <c r="J194" s="92"/>
      <c r="K194" s="2"/>
      <c r="L194" s="92"/>
      <c r="M194" s="2"/>
      <c r="N194" s="2"/>
      <c r="O194" s="2"/>
      <c r="P194" s="3"/>
      <c r="Q194" s="2"/>
      <c r="R194" s="2"/>
      <c r="S194" s="2"/>
      <c r="T194" s="2"/>
      <c r="U194" s="1"/>
    </row>
    <row r="195" spans="1:21" ht="20.100000000000001" customHeight="1" x14ac:dyDescent="0.25">
      <c r="A195" s="2"/>
      <c r="B195" s="2"/>
      <c r="C195" s="2"/>
      <c r="D195" s="2"/>
      <c r="E195" s="2"/>
      <c r="F195" s="2"/>
      <c r="G195" s="2"/>
      <c r="H195" s="2"/>
      <c r="I195" s="2"/>
      <c r="J195" s="92"/>
      <c r="K195" s="2"/>
      <c r="L195" s="92"/>
      <c r="M195" s="2"/>
      <c r="N195" s="2"/>
      <c r="O195" s="2"/>
      <c r="P195" s="3"/>
      <c r="Q195" s="2"/>
      <c r="R195" s="2"/>
      <c r="S195" s="2"/>
      <c r="T195" s="2"/>
      <c r="U195" s="1"/>
    </row>
    <row r="196" spans="1:21" ht="20.100000000000001" customHeight="1" x14ac:dyDescent="0.25">
      <c r="A196" s="2"/>
      <c r="B196" s="2"/>
      <c r="C196" s="2"/>
      <c r="D196" s="2"/>
      <c r="E196" s="2"/>
      <c r="F196" s="2"/>
      <c r="G196" s="2"/>
      <c r="H196" s="2"/>
      <c r="I196" s="2"/>
      <c r="J196" s="92"/>
      <c r="K196" s="2"/>
      <c r="L196" s="92"/>
      <c r="M196" s="2"/>
      <c r="N196" s="2"/>
      <c r="O196" s="2"/>
      <c r="P196" s="3"/>
      <c r="Q196" s="2"/>
      <c r="R196" s="2"/>
      <c r="S196" s="2"/>
      <c r="T196" s="2"/>
      <c r="U196" s="1"/>
    </row>
    <row r="197" spans="1:21" ht="20.100000000000001" customHeight="1" x14ac:dyDescent="0.25">
      <c r="A197" s="2"/>
      <c r="B197" s="2"/>
      <c r="C197" s="2"/>
      <c r="D197" s="2"/>
      <c r="E197" s="2"/>
      <c r="F197" s="2"/>
      <c r="G197" s="2"/>
      <c r="H197" s="2"/>
      <c r="I197" s="2"/>
      <c r="J197" s="92"/>
      <c r="K197" s="2"/>
      <c r="L197" s="92"/>
      <c r="M197" s="2"/>
      <c r="N197" s="2"/>
      <c r="O197" s="2"/>
      <c r="P197" s="3"/>
      <c r="Q197" s="2"/>
      <c r="R197" s="2"/>
      <c r="S197" s="2"/>
      <c r="T197" s="2"/>
      <c r="U197" s="1"/>
    </row>
    <row r="198" spans="1:21" ht="20.100000000000001" customHeight="1" x14ac:dyDescent="0.25">
      <c r="A198" s="2"/>
      <c r="B198" s="2"/>
      <c r="C198" s="2"/>
      <c r="D198" s="2"/>
      <c r="E198" s="2"/>
      <c r="F198" s="2"/>
      <c r="G198" s="2"/>
      <c r="H198" s="2"/>
      <c r="I198" s="2"/>
      <c r="J198" s="92"/>
      <c r="K198" s="2"/>
      <c r="L198" s="92"/>
      <c r="M198" s="2"/>
      <c r="N198" s="2"/>
      <c r="O198" s="2"/>
      <c r="P198" s="3"/>
      <c r="Q198" s="2"/>
      <c r="R198" s="2"/>
      <c r="S198" s="2"/>
      <c r="T198" s="2"/>
      <c r="U198" s="1"/>
    </row>
    <row r="199" spans="1:21" ht="20.100000000000001" customHeight="1" x14ac:dyDescent="0.25">
      <c r="A199" s="2"/>
      <c r="B199" s="2"/>
      <c r="C199" s="2"/>
      <c r="D199" s="2"/>
      <c r="E199" s="2"/>
      <c r="F199" s="2"/>
      <c r="G199" s="2"/>
      <c r="H199" s="2"/>
      <c r="I199" s="2"/>
      <c r="J199" s="92"/>
      <c r="K199" s="2"/>
      <c r="L199" s="92"/>
      <c r="M199" s="2"/>
      <c r="N199" s="2"/>
      <c r="O199" s="2"/>
      <c r="P199" s="3"/>
      <c r="Q199" s="2"/>
      <c r="R199" s="2"/>
      <c r="S199" s="2"/>
      <c r="T199" s="2"/>
      <c r="U199" s="1"/>
    </row>
    <row r="200" spans="1:21" ht="20.100000000000001" customHeight="1" x14ac:dyDescent="0.25">
      <c r="A200" s="2"/>
      <c r="B200" s="2"/>
      <c r="C200" s="2"/>
      <c r="D200" s="2"/>
      <c r="E200" s="2"/>
      <c r="F200" s="2"/>
      <c r="G200" s="2"/>
      <c r="H200" s="2"/>
      <c r="I200" s="2"/>
      <c r="J200" s="92"/>
      <c r="K200" s="2"/>
      <c r="L200" s="92"/>
      <c r="M200" s="2"/>
      <c r="N200" s="2"/>
      <c r="O200" s="2"/>
      <c r="P200" s="3"/>
      <c r="Q200" s="2"/>
      <c r="R200" s="2"/>
      <c r="S200" s="2"/>
      <c r="T200" s="2"/>
      <c r="U200" s="1"/>
    </row>
    <row r="201" spans="1:21" ht="20.100000000000001" customHeight="1" x14ac:dyDescent="0.25">
      <c r="A201" s="2"/>
      <c r="B201" s="2"/>
      <c r="C201" s="2"/>
      <c r="D201" s="2"/>
      <c r="E201" s="2"/>
      <c r="F201" s="2"/>
      <c r="G201" s="2"/>
      <c r="H201" s="2"/>
      <c r="I201" s="2"/>
      <c r="J201" s="92"/>
      <c r="K201" s="2"/>
      <c r="L201" s="92"/>
      <c r="M201" s="2"/>
      <c r="N201" s="2"/>
      <c r="O201" s="2"/>
      <c r="P201" s="3"/>
      <c r="Q201" s="2"/>
      <c r="R201" s="2"/>
      <c r="S201" s="2"/>
      <c r="T201" s="2"/>
      <c r="U201" s="1"/>
    </row>
    <row r="202" spans="1:21" ht="20.100000000000001" customHeight="1" x14ac:dyDescent="0.25">
      <c r="A202" s="2"/>
      <c r="B202" s="2"/>
      <c r="C202" s="2"/>
      <c r="D202" s="2"/>
      <c r="E202" s="2"/>
      <c r="F202" s="2"/>
      <c r="G202" s="2"/>
      <c r="H202" s="2"/>
      <c r="I202" s="2"/>
      <c r="J202" s="92"/>
      <c r="K202" s="2"/>
      <c r="L202" s="92"/>
      <c r="M202" s="2"/>
      <c r="N202" s="2"/>
      <c r="O202" s="2"/>
      <c r="P202" s="3"/>
      <c r="Q202" s="2"/>
      <c r="R202" s="2"/>
      <c r="S202" s="2"/>
      <c r="T202" s="2"/>
      <c r="U202" s="1"/>
    </row>
    <row r="203" spans="1:21" ht="20.100000000000001" customHeight="1" x14ac:dyDescent="0.25">
      <c r="A203" s="2"/>
      <c r="B203" s="2"/>
      <c r="C203" s="2"/>
      <c r="D203" s="2"/>
      <c r="E203" s="2"/>
      <c r="F203" s="2"/>
      <c r="G203" s="2"/>
      <c r="H203" s="2"/>
      <c r="I203" s="2"/>
      <c r="J203" s="92"/>
      <c r="K203" s="2"/>
      <c r="L203" s="92"/>
      <c r="M203" s="2"/>
      <c r="N203" s="2"/>
      <c r="O203" s="2"/>
      <c r="P203" s="3"/>
      <c r="Q203" s="2"/>
      <c r="R203" s="2"/>
      <c r="S203" s="2"/>
      <c r="T203" s="2"/>
      <c r="U203" s="1"/>
    </row>
    <row r="204" spans="1:21" ht="20.100000000000001" customHeight="1" x14ac:dyDescent="0.25">
      <c r="A204" s="2"/>
      <c r="B204" s="2"/>
      <c r="C204" s="2"/>
      <c r="D204" s="2"/>
      <c r="E204" s="2"/>
      <c r="F204" s="2"/>
      <c r="G204" s="2"/>
      <c r="H204" s="2"/>
      <c r="I204" s="2"/>
      <c r="J204" s="92"/>
      <c r="K204" s="2"/>
      <c r="L204" s="92"/>
      <c r="M204" s="2"/>
      <c r="N204" s="2"/>
      <c r="O204" s="2"/>
      <c r="P204" s="3"/>
      <c r="Q204" s="2"/>
      <c r="R204" s="2"/>
      <c r="S204" s="2"/>
      <c r="T204" s="2"/>
      <c r="U204" s="1"/>
    </row>
    <row r="205" spans="1:21" ht="20.100000000000001" customHeight="1" x14ac:dyDescent="0.25">
      <c r="A205" s="2"/>
      <c r="B205" s="2"/>
      <c r="C205" s="2"/>
      <c r="D205" s="2"/>
      <c r="E205" s="2"/>
      <c r="F205" s="2"/>
      <c r="G205" s="2"/>
      <c r="H205" s="2"/>
      <c r="I205" s="2"/>
      <c r="J205" s="92"/>
      <c r="K205" s="2"/>
      <c r="L205" s="92"/>
      <c r="M205" s="2"/>
      <c r="N205" s="2"/>
      <c r="O205" s="2"/>
      <c r="P205" s="3"/>
      <c r="Q205" s="2"/>
      <c r="R205" s="2"/>
      <c r="S205" s="2"/>
      <c r="T205" s="2"/>
      <c r="U205" s="1"/>
    </row>
    <row r="206" spans="1:21" ht="20.100000000000001" customHeight="1" x14ac:dyDescent="0.25">
      <c r="A206" s="2"/>
      <c r="B206" s="2"/>
      <c r="C206" s="2"/>
      <c r="D206" s="2"/>
      <c r="E206" s="2"/>
      <c r="F206" s="2"/>
      <c r="G206" s="2"/>
      <c r="H206" s="2"/>
      <c r="I206" s="2"/>
      <c r="J206" s="92"/>
      <c r="K206" s="2"/>
      <c r="L206" s="92"/>
      <c r="M206" s="2"/>
      <c r="N206" s="2"/>
      <c r="O206" s="2"/>
      <c r="P206" s="3"/>
      <c r="Q206" s="2"/>
      <c r="R206" s="2"/>
      <c r="S206" s="2"/>
      <c r="T206" s="2"/>
      <c r="U206" s="1"/>
    </row>
    <row r="207" spans="1:21" ht="20.100000000000001" customHeight="1" x14ac:dyDescent="0.25">
      <c r="A207" s="2"/>
      <c r="B207" s="2"/>
      <c r="C207" s="2"/>
      <c r="D207" s="2"/>
      <c r="E207" s="2"/>
      <c r="F207" s="2"/>
      <c r="G207" s="2"/>
      <c r="H207" s="2"/>
      <c r="I207" s="2"/>
      <c r="J207" s="92"/>
      <c r="K207" s="2"/>
      <c r="L207" s="92"/>
      <c r="M207" s="2"/>
      <c r="N207" s="2"/>
      <c r="O207" s="2"/>
      <c r="P207" s="3"/>
      <c r="Q207" s="2"/>
      <c r="R207" s="2"/>
      <c r="S207" s="2"/>
      <c r="T207" s="2"/>
      <c r="U207" s="1"/>
    </row>
    <row r="208" spans="1:21" ht="20.100000000000001" customHeight="1" x14ac:dyDescent="0.25">
      <c r="A208" s="2"/>
      <c r="B208" s="2"/>
      <c r="C208" s="2"/>
      <c r="D208" s="2"/>
      <c r="E208" s="2"/>
      <c r="F208" s="2"/>
      <c r="G208" s="2"/>
      <c r="H208" s="2"/>
      <c r="I208" s="2"/>
      <c r="J208" s="92"/>
      <c r="K208" s="2"/>
      <c r="L208" s="92"/>
      <c r="M208" s="2"/>
      <c r="N208" s="2"/>
      <c r="O208" s="2"/>
      <c r="P208" s="3"/>
      <c r="Q208" s="2"/>
      <c r="R208" s="2"/>
      <c r="S208" s="2"/>
      <c r="T208" s="2"/>
      <c r="U208" s="1"/>
    </row>
    <row r="209" spans="1:21" ht="20.100000000000001" customHeight="1" x14ac:dyDescent="0.25">
      <c r="A209" s="2"/>
      <c r="B209" s="2"/>
      <c r="C209" s="2"/>
      <c r="D209" s="2"/>
      <c r="E209" s="2"/>
      <c r="F209" s="2"/>
      <c r="G209" s="2"/>
      <c r="H209" s="2"/>
      <c r="I209" s="2"/>
      <c r="J209" s="92"/>
      <c r="K209" s="2"/>
      <c r="L209" s="92"/>
      <c r="M209" s="2"/>
      <c r="N209" s="2"/>
      <c r="O209" s="2"/>
      <c r="P209" s="3"/>
      <c r="Q209" s="2"/>
      <c r="R209" s="2"/>
      <c r="S209" s="2"/>
      <c r="T209" s="2"/>
      <c r="U209" s="1"/>
    </row>
    <row r="210" spans="1:21" ht="20.100000000000001" customHeight="1" x14ac:dyDescent="0.25">
      <c r="A210" s="2"/>
      <c r="B210" s="2"/>
      <c r="C210" s="2"/>
      <c r="D210" s="2"/>
      <c r="E210" s="2"/>
      <c r="F210" s="2"/>
      <c r="G210" s="2"/>
      <c r="H210" s="2"/>
      <c r="I210" s="2"/>
      <c r="J210" s="92"/>
      <c r="K210" s="2"/>
      <c r="L210" s="92"/>
      <c r="M210" s="2"/>
      <c r="N210" s="2"/>
      <c r="O210" s="2"/>
      <c r="P210" s="3"/>
      <c r="Q210" s="2"/>
      <c r="R210" s="2"/>
      <c r="S210" s="2"/>
      <c r="T210" s="2"/>
      <c r="U210" s="1"/>
    </row>
    <row r="211" spans="1:21" ht="20.100000000000001" customHeight="1" x14ac:dyDescent="0.25">
      <c r="A211" s="2"/>
      <c r="B211" s="2"/>
      <c r="C211" s="2"/>
      <c r="D211" s="2"/>
      <c r="E211" s="2"/>
      <c r="F211" s="2"/>
      <c r="G211" s="2"/>
      <c r="H211" s="2"/>
      <c r="I211" s="2"/>
      <c r="J211" s="92"/>
      <c r="K211" s="2"/>
      <c r="L211" s="92"/>
      <c r="M211" s="2"/>
      <c r="N211" s="2"/>
      <c r="O211" s="2"/>
      <c r="P211" s="3"/>
      <c r="Q211" s="2"/>
      <c r="R211" s="2"/>
      <c r="S211" s="2"/>
      <c r="T211" s="2"/>
      <c r="U211" s="1"/>
    </row>
    <row r="212" spans="1:21" ht="20.100000000000001" customHeight="1" x14ac:dyDescent="0.25">
      <c r="A212" s="2"/>
      <c r="B212" s="2"/>
      <c r="C212" s="2"/>
      <c r="D212" s="2"/>
      <c r="E212" s="2"/>
      <c r="F212" s="2"/>
      <c r="G212" s="2"/>
      <c r="H212" s="2"/>
      <c r="I212" s="2"/>
      <c r="J212" s="92"/>
      <c r="K212" s="2"/>
      <c r="L212" s="92"/>
      <c r="M212" s="2"/>
      <c r="N212" s="2"/>
      <c r="O212" s="2"/>
      <c r="P212" s="3"/>
      <c r="Q212" s="2"/>
      <c r="R212" s="2"/>
      <c r="S212" s="2"/>
      <c r="T212" s="2"/>
      <c r="U212" s="1"/>
    </row>
    <row r="213" spans="1:21" ht="20.100000000000001" customHeight="1" x14ac:dyDescent="0.25">
      <c r="A213" s="2"/>
      <c r="B213" s="2"/>
      <c r="C213" s="2"/>
      <c r="D213" s="2"/>
      <c r="E213" s="2"/>
      <c r="F213" s="2"/>
      <c r="G213" s="2"/>
      <c r="H213" s="2"/>
      <c r="I213" s="2"/>
      <c r="J213" s="92"/>
      <c r="K213" s="2"/>
      <c r="L213" s="92"/>
      <c r="M213" s="2"/>
      <c r="N213" s="2"/>
      <c r="O213" s="2"/>
      <c r="P213" s="3"/>
      <c r="Q213" s="2"/>
      <c r="R213" s="2"/>
      <c r="S213" s="2"/>
      <c r="T213" s="2"/>
      <c r="U213" s="1"/>
    </row>
    <row r="214" spans="1:21" ht="20.100000000000001" customHeight="1" x14ac:dyDescent="0.25">
      <c r="A214" s="2"/>
      <c r="B214" s="2"/>
      <c r="C214" s="2"/>
      <c r="D214" s="2"/>
      <c r="E214" s="2"/>
      <c r="F214" s="2"/>
      <c r="G214" s="2"/>
      <c r="H214" s="2"/>
      <c r="I214" s="2"/>
      <c r="J214" s="92"/>
      <c r="K214" s="2"/>
      <c r="L214" s="92"/>
      <c r="M214" s="2"/>
      <c r="N214" s="2"/>
      <c r="O214" s="2"/>
      <c r="P214" s="3"/>
      <c r="Q214" s="2"/>
      <c r="R214" s="2"/>
      <c r="S214" s="2"/>
      <c r="T214" s="2"/>
      <c r="U214" s="1"/>
    </row>
    <row r="215" spans="1:21" ht="20.100000000000001" customHeight="1" x14ac:dyDescent="0.25">
      <c r="A215" s="2"/>
      <c r="B215" s="2"/>
      <c r="C215" s="2"/>
      <c r="D215" s="2"/>
      <c r="E215" s="2"/>
      <c r="F215" s="2"/>
      <c r="G215" s="2"/>
      <c r="H215" s="2"/>
      <c r="I215" s="2"/>
      <c r="J215" s="92"/>
      <c r="K215" s="2"/>
      <c r="L215" s="92"/>
      <c r="M215" s="2"/>
      <c r="N215" s="2"/>
      <c r="O215" s="2"/>
      <c r="P215" s="3"/>
      <c r="Q215" s="2"/>
      <c r="R215" s="2"/>
      <c r="S215" s="2"/>
      <c r="T215" s="2"/>
      <c r="U215" s="1"/>
    </row>
    <row r="216" spans="1:21" ht="20.100000000000001" customHeight="1" x14ac:dyDescent="0.25">
      <c r="A216" s="2"/>
      <c r="B216" s="2"/>
      <c r="C216" s="2"/>
      <c r="D216" s="2"/>
      <c r="E216" s="2"/>
      <c r="F216" s="2"/>
      <c r="G216" s="2"/>
      <c r="H216" s="2"/>
      <c r="I216" s="2"/>
      <c r="J216" s="92"/>
      <c r="K216" s="2"/>
      <c r="L216" s="92"/>
      <c r="M216" s="2"/>
      <c r="N216" s="2"/>
      <c r="O216" s="2"/>
      <c r="P216" s="3"/>
      <c r="Q216" s="2"/>
      <c r="R216" s="2"/>
      <c r="S216" s="2"/>
      <c r="T216" s="2"/>
      <c r="U216" s="1"/>
    </row>
    <row r="217" spans="1:21" ht="20.100000000000001" customHeight="1" x14ac:dyDescent="0.25">
      <c r="A217" s="2"/>
      <c r="B217" s="2"/>
      <c r="C217" s="2"/>
      <c r="D217" s="2"/>
      <c r="E217" s="2"/>
      <c r="F217" s="2"/>
      <c r="G217" s="2"/>
      <c r="H217" s="2"/>
      <c r="I217" s="2"/>
      <c r="J217" s="92"/>
      <c r="K217" s="2"/>
      <c r="L217" s="92"/>
      <c r="M217" s="2"/>
      <c r="N217" s="2"/>
      <c r="O217" s="2"/>
      <c r="P217" s="3"/>
      <c r="Q217" s="2"/>
      <c r="R217" s="2"/>
      <c r="S217" s="2"/>
      <c r="T217" s="2"/>
      <c r="U217" s="1"/>
    </row>
    <row r="218" spans="1:21" ht="20.100000000000001" customHeight="1" x14ac:dyDescent="0.25">
      <c r="A218" s="2"/>
      <c r="B218" s="2"/>
      <c r="C218" s="2"/>
      <c r="D218" s="2"/>
      <c r="E218" s="2"/>
      <c r="F218" s="2"/>
      <c r="G218" s="2"/>
      <c r="H218" s="2"/>
      <c r="I218" s="2"/>
      <c r="J218" s="92"/>
      <c r="K218" s="2"/>
      <c r="L218" s="92"/>
      <c r="M218" s="2"/>
      <c r="N218" s="2"/>
      <c r="O218" s="2"/>
      <c r="P218" s="3"/>
      <c r="Q218" s="2"/>
      <c r="R218" s="2"/>
      <c r="S218" s="2"/>
      <c r="T218" s="2"/>
      <c r="U218" s="1"/>
    </row>
    <row r="219" spans="1:21" ht="20.100000000000001" customHeight="1" x14ac:dyDescent="0.25">
      <c r="A219" s="2"/>
      <c r="B219" s="2"/>
      <c r="C219" s="2"/>
      <c r="D219" s="2"/>
      <c r="E219" s="2"/>
      <c r="F219" s="2"/>
      <c r="G219" s="2"/>
      <c r="H219" s="2"/>
      <c r="I219" s="2"/>
      <c r="J219" s="92"/>
      <c r="K219" s="2"/>
      <c r="L219" s="92"/>
      <c r="M219" s="2"/>
      <c r="N219" s="2"/>
      <c r="O219" s="2"/>
      <c r="P219" s="3"/>
      <c r="Q219" s="2"/>
      <c r="R219" s="2"/>
      <c r="S219" s="2"/>
      <c r="T219" s="2"/>
      <c r="U219" s="1"/>
    </row>
    <row r="220" spans="1:21" ht="20.100000000000001" customHeight="1" x14ac:dyDescent="0.25">
      <c r="A220" s="2"/>
      <c r="B220" s="2"/>
      <c r="C220" s="2"/>
      <c r="D220" s="2"/>
      <c r="E220" s="2"/>
      <c r="F220" s="2"/>
      <c r="G220" s="2"/>
      <c r="H220" s="2"/>
      <c r="I220" s="2"/>
      <c r="J220" s="92"/>
      <c r="K220" s="2"/>
      <c r="L220" s="92"/>
      <c r="M220" s="2"/>
      <c r="N220" s="2"/>
      <c r="O220" s="2"/>
      <c r="P220" s="3"/>
      <c r="Q220" s="2"/>
      <c r="R220" s="2"/>
      <c r="S220" s="2"/>
      <c r="T220" s="2"/>
      <c r="U220" s="1"/>
    </row>
    <row r="221" spans="1:21" ht="20.100000000000001" customHeight="1" x14ac:dyDescent="0.25">
      <c r="A221" s="2"/>
      <c r="B221" s="2"/>
      <c r="C221" s="2"/>
      <c r="D221" s="2"/>
      <c r="E221" s="2"/>
      <c r="F221" s="2"/>
      <c r="G221" s="2"/>
      <c r="H221" s="2"/>
      <c r="I221" s="2"/>
      <c r="J221" s="92"/>
      <c r="K221" s="2"/>
      <c r="L221" s="92"/>
      <c r="M221" s="2"/>
      <c r="N221" s="2"/>
      <c r="O221" s="2"/>
      <c r="P221" s="3"/>
      <c r="Q221" s="2"/>
      <c r="R221" s="2"/>
      <c r="S221" s="2"/>
      <c r="T221" s="2"/>
      <c r="U221" s="1"/>
    </row>
    <row r="222" spans="1:21" ht="20.100000000000001" customHeight="1" x14ac:dyDescent="0.25">
      <c r="A222" s="2"/>
      <c r="B222" s="2"/>
      <c r="C222" s="2"/>
      <c r="D222" s="2"/>
      <c r="E222" s="2"/>
      <c r="F222" s="2"/>
      <c r="G222" s="2"/>
      <c r="H222" s="2"/>
      <c r="I222" s="2"/>
      <c r="J222" s="92"/>
      <c r="K222" s="2"/>
      <c r="L222" s="92"/>
      <c r="M222" s="2"/>
      <c r="N222" s="2"/>
      <c r="O222" s="2"/>
      <c r="P222" s="3"/>
      <c r="Q222" s="2"/>
      <c r="R222" s="2"/>
      <c r="S222" s="2"/>
      <c r="T222" s="2"/>
      <c r="U222" s="1"/>
    </row>
    <row r="223" spans="1:21" ht="20.100000000000001" customHeight="1" x14ac:dyDescent="0.25">
      <c r="A223" s="2"/>
      <c r="B223" s="2"/>
      <c r="C223" s="2"/>
      <c r="D223" s="2"/>
      <c r="E223" s="2"/>
      <c r="F223" s="2"/>
      <c r="G223" s="2"/>
      <c r="H223" s="2"/>
      <c r="I223" s="2"/>
      <c r="J223" s="92"/>
      <c r="K223" s="2"/>
      <c r="L223" s="92"/>
      <c r="M223" s="2"/>
      <c r="N223" s="2"/>
      <c r="O223" s="2"/>
      <c r="P223" s="3"/>
      <c r="Q223" s="2"/>
      <c r="R223" s="2"/>
      <c r="S223" s="2"/>
      <c r="T223" s="2"/>
      <c r="U223" s="1"/>
    </row>
    <row r="224" spans="1:21" ht="20.100000000000001" customHeight="1" x14ac:dyDescent="0.25">
      <c r="A224" s="2"/>
      <c r="B224" s="2"/>
      <c r="C224" s="2"/>
      <c r="D224" s="2"/>
      <c r="E224" s="2"/>
      <c r="F224" s="2"/>
      <c r="G224" s="2"/>
      <c r="H224" s="2"/>
      <c r="I224" s="2"/>
      <c r="J224" s="92"/>
      <c r="K224" s="2"/>
      <c r="L224" s="92"/>
      <c r="M224" s="2"/>
      <c r="N224" s="2"/>
      <c r="O224" s="2"/>
      <c r="P224" s="3"/>
      <c r="Q224" s="2"/>
      <c r="R224" s="2"/>
      <c r="S224" s="2"/>
      <c r="T224" s="2"/>
      <c r="U224" s="1"/>
    </row>
    <row r="225" spans="1:21" ht="20.100000000000001" customHeight="1" x14ac:dyDescent="0.25">
      <c r="A225" s="2"/>
      <c r="B225" s="2"/>
      <c r="C225" s="2"/>
      <c r="D225" s="2"/>
      <c r="E225" s="2"/>
      <c r="F225" s="2"/>
      <c r="G225" s="2"/>
      <c r="H225" s="2"/>
      <c r="I225" s="2"/>
      <c r="J225" s="92"/>
      <c r="K225" s="2"/>
      <c r="L225" s="92"/>
      <c r="M225" s="2"/>
      <c r="N225" s="2"/>
      <c r="O225" s="2"/>
      <c r="P225" s="3"/>
      <c r="Q225" s="2"/>
      <c r="R225" s="2"/>
      <c r="S225" s="2"/>
      <c r="T225" s="2"/>
      <c r="U225" s="1"/>
    </row>
    <row r="226" spans="1:21" ht="20.100000000000001" customHeight="1" x14ac:dyDescent="0.25">
      <c r="A226" s="2"/>
      <c r="B226" s="2"/>
      <c r="C226" s="2"/>
      <c r="D226" s="2"/>
      <c r="E226" s="2"/>
      <c r="F226" s="2"/>
      <c r="G226" s="2"/>
      <c r="H226" s="2"/>
      <c r="I226" s="2"/>
      <c r="J226" s="92"/>
      <c r="K226" s="2"/>
      <c r="L226" s="92"/>
      <c r="M226" s="2"/>
      <c r="N226" s="2"/>
      <c r="O226" s="2"/>
      <c r="P226" s="3"/>
      <c r="Q226" s="2"/>
      <c r="R226" s="2"/>
      <c r="S226" s="2"/>
      <c r="T226" s="2"/>
      <c r="U226" s="1"/>
    </row>
    <row r="227" spans="1:21" ht="20.100000000000001" customHeight="1" x14ac:dyDescent="0.25">
      <c r="A227" s="2"/>
      <c r="B227" s="2"/>
      <c r="C227" s="2"/>
      <c r="D227" s="2"/>
      <c r="E227" s="2"/>
      <c r="F227" s="2"/>
      <c r="G227" s="2"/>
      <c r="H227" s="2"/>
      <c r="I227" s="2"/>
      <c r="J227" s="92"/>
      <c r="K227" s="2"/>
      <c r="L227" s="92"/>
      <c r="M227" s="2"/>
      <c r="N227" s="2"/>
      <c r="O227" s="2"/>
      <c r="P227" s="3"/>
      <c r="Q227" s="2"/>
      <c r="R227" s="2"/>
      <c r="S227" s="2"/>
      <c r="T227" s="2"/>
      <c r="U227" s="1"/>
    </row>
    <row r="228" spans="1:21" ht="20.100000000000001" customHeight="1" x14ac:dyDescent="0.25">
      <c r="A228" s="2"/>
      <c r="B228" s="2"/>
      <c r="C228" s="2"/>
      <c r="D228" s="2"/>
      <c r="E228" s="2"/>
      <c r="F228" s="2"/>
      <c r="G228" s="2"/>
      <c r="H228" s="2"/>
      <c r="I228" s="2"/>
      <c r="J228" s="92"/>
      <c r="K228" s="2"/>
      <c r="L228" s="92"/>
      <c r="M228" s="2"/>
      <c r="N228" s="2"/>
      <c r="O228" s="2"/>
      <c r="P228" s="3"/>
      <c r="Q228" s="2"/>
      <c r="R228" s="2"/>
      <c r="S228" s="2"/>
      <c r="T228" s="2"/>
      <c r="U228" s="1"/>
    </row>
    <row r="229" spans="1:21" ht="20.100000000000001" customHeight="1" x14ac:dyDescent="0.25">
      <c r="A229" s="2"/>
      <c r="B229" s="2"/>
      <c r="C229" s="2"/>
      <c r="D229" s="2"/>
      <c r="E229" s="2"/>
      <c r="F229" s="2"/>
      <c r="G229" s="2"/>
      <c r="H229" s="2"/>
      <c r="I229" s="2"/>
      <c r="J229" s="92"/>
      <c r="K229" s="2"/>
      <c r="L229" s="92"/>
      <c r="M229" s="2"/>
      <c r="N229" s="2"/>
      <c r="O229" s="2"/>
      <c r="P229" s="3"/>
      <c r="Q229" s="2"/>
      <c r="R229" s="2"/>
      <c r="S229" s="2"/>
      <c r="T229" s="2"/>
      <c r="U229" s="1"/>
    </row>
    <row r="230" spans="1:21" ht="20.100000000000001" customHeight="1" x14ac:dyDescent="0.25">
      <c r="A230" s="2"/>
      <c r="B230" s="2"/>
      <c r="C230" s="2"/>
      <c r="D230" s="2"/>
      <c r="E230" s="2"/>
      <c r="F230" s="2"/>
      <c r="G230" s="2"/>
      <c r="H230" s="2"/>
      <c r="I230" s="2"/>
      <c r="J230" s="92"/>
      <c r="K230" s="2"/>
      <c r="L230" s="92"/>
      <c r="M230" s="2"/>
      <c r="N230" s="2"/>
      <c r="O230" s="2"/>
      <c r="P230" s="3"/>
      <c r="Q230" s="2"/>
      <c r="R230" s="2"/>
      <c r="S230" s="2"/>
      <c r="T230" s="2"/>
      <c r="U230" s="1"/>
    </row>
    <row r="231" spans="1:21" ht="20.100000000000001" customHeight="1" x14ac:dyDescent="0.25">
      <c r="A231" s="2"/>
      <c r="B231" s="2"/>
      <c r="C231" s="2"/>
      <c r="D231" s="2"/>
      <c r="E231" s="2"/>
      <c r="F231" s="2"/>
      <c r="G231" s="2"/>
      <c r="H231" s="2"/>
      <c r="I231" s="2"/>
      <c r="J231" s="92"/>
      <c r="K231" s="2"/>
      <c r="L231" s="92"/>
      <c r="M231" s="2"/>
      <c r="N231" s="2"/>
      <c r="O231" s="2"/>
      <c r="P231" s="3"/>
      <c r="Q231" s="2"/>
      <c r="R231" s="2"/>
      <c r="S231" s="2"/>
      <c r="T231" s="2"/>
      <c r="U231" s="1"/>
    </row>
    <row r="232" spans="1:21" ht="20.100000000000001" customHeight="1" x14ac:dyDescent="0.25">
      <c r="A232" s="2"/>
      <c r="B232" s="2"/>
      <c r="C232" s="2"/>
      <c r="D232" s="2"/>
      <c r="E232" s="2"/>
      <c r="F232" s="2"/>
      <c r="G232" s="2"/>
      <c r="H232" s="2"/>
      <c r="I232" s="2"/>
      <c r="J232" s="92"/>
      <c r="K232" s="2"/>
      <c r="L232" s="92"/>
      <c r="M232" s="2"/>
      <c r="N232" s="2"/>
      <c r="O232" s="2"/>
      <c r="P232" s="3"/>
      <c r="Q232" s="2"/>
      <c r="R232" s="2"/>
      <c r="S232" s="2"/>
      <c r="T232" s="2"/>
      <c r="U232" s="1"/>
    </row>
    <row r="233" spans="1:21" ht="20.100000000000001" customHeight="1" x14ac:dyDescent="0.25">
      <c r="A233" s="2"/>
      <c r="B233" s="2"/>
      <c r="C233" s="2"/>
      <c r="D233" s="2"/>
      <c r="E233" s="2"/>
      <c r="F233" s="2"/>
      <c r="G233" s="2"/>
      <c r="H233" s="2"/>
      <c r="I233" s="2"/>
      <c r="J233" s="92"/>
      <c r="K233" s="2"/>
      <c r="L233" s="92"/>
      <c r="M233" s="2"/>
      <c r="N233" s="2"/>
      <c r="O233" s="2"/>
      <c r="P233" s="3"/>
      <c r="Q233" s="2"/>
      <c r="R233" s="2"/>
      <c r="S233" s="2"/>
      <c r="T233" s="2"/>
      <c r="U233" s="1"/>
    </row>
    <row r="234" spans="1:21" ht="20.100000000000001" customHeight="1" x14ac:dyDescent="0.25">
      <c r="A234" s="2"/>
      <c r="B234" s="2"/>
      <c r="C234" s="2"/>
      <c r="D234" s="2"/>
      <c r="E234" s="2"/>
      <c r="F234" s="2"/>
      <c r="G234" s="2"/>
      <c r="H234" s="2"/>
      <c r="I234" s="2"/>
      <c r="J234" s="92"/>
      <c r="K234" s="2"/>
      <c r="L234" s="92"/>
      <c r="M234" s="2"/>
      <c r="N234" s="2"/>
      <c r="O234" s="2"/>
      <c r="P234" s="3"/>
      <c r="Q234" s="2"/>
      <c r="R234" s="2"/>
      <c r="S234" s="2"/>
      <c r="T234" s="2"/>
      <c r="U234" s="1"/>
    </row>
    <row r="235" spans="1:21" ht="20.100000000000001" customHeight="1" x14ac:dyDescent="0.25">
      <c r="A235" s="2"/>
      <c r="B235" s="2"/>
      <c r="C235" s="2"/>
      <c r="D235" s="2"/>
      <c r="E235" s="2"/>
      <c r="F235" s="2"/>
      <c r="G235" s="2"/>
      <c r="H235" s="2"/>
      <c r="I235" s="2"/>
      <c r="J235" s="92"/>
      <c r="K235" s="2"/>
      <c r="L235" s="92"/>
      <c r="M235" s="2"/>
      <c r="N235" s="2"/>
      <c r="O235" s="2"/>
      <c r="P235" s="3"/>
      <c r="Q235" s="2"/>
      <c r="R235" s="2"/>
      <c r="S235" s="2"/>
      <c r="T235" s="2"/>
      <c r="U235" s="1"/>
    </row>
    <row r="236" spans="1:21" ht="20.100000000000001" customHeight="1" x14ac:dyDescent="0.25">
      <c r="A236" s="2"/>
      <c r="B236" s="2"/>
      <c r="C236" s="2"/>
      <c r="D236" s="2"/>
      <c r="E236" s="2"/>
      <c r="F236" s="2"/>
      <c r="G236" s="2"/>
      <c r="H236" s="2"/>
      <c r="I236" s="2"/>
      <c r="J236" s="92"/>
      <c r="K236" s="2"/>
      <c r="L236" s="92"/>
      <c r="M236" s="2"/>
      <c r="N236" s="2"/>
      <c r="O236" s="2"/>
      <c r="P236" s="3"/>
      <c r="Q236" s="2"/>
      <c r="R236" s="2"/>
      <c r="S236" s="2"/>
      <c r="T236" s="2"/>
      <c r="U236" s="1"/>
    </row>
    <row r="237" spans="1:21" ht="20.100000000000001" customHeight="1" x14ac:dyDescent="0.25">
      <c r="A237" s="2"/>
      <c r="B237" s="2"/>
      <c r="C237" s="2"/>
      <c r="D237" s="2"/>
      <c r="E237" s="2"/>
      <c r="F237" s="2"/>
      <c r="G237" s="2"/>
      <c r="H237" s="2"/>
      <c r="I237" s="2"/>
      <c r="J237" s="92"/>
      <c r="K237" s="2"/>
      <c r="L237" s="92"/>
      <c r="M237" s="2"/>
      <c r="N237" s="2"/>
      <c r="O237" s="2"/>
      <c r="P237" s="3"/>
      <c r="Q237" s="2"/>
      <c r="R237" s="2"/>
      <c r="S237" s="2"/>
      <c r="T237" s="2"/>
      <c r="U237" s="1"/>
    </row>
    <row r="238" spans="1:21" ht="20.100000000000001" customHeight="1" x14ac:dyDescent="0.25">
      <c r="A238" s="2"/>
      <c r="B238" s="2"/>
      <c r="C238" s="2"/>
      <c r="D238" s="2"/>
      <c r="E238" s="2"/>
      <c r="F238" s="2"/>
      <c r="G238" s="2"/>
      <c r="H238" s="2"/>
      <c r="I238" s="2"/>
      <c r="J238" s="92"/>
      <c r="K238" s="2"/>
      <c r="L238" s="92"/>
      <c r="M238" s="2"/>
      <c r="N238" s="2"/>
      <c r="O238" s="2"/>
      <c r="P238" s="3"/>
      <c r="Q238" s="2"/>
      <c r="R238" s="2"/>
      <c r="S238" s="2"/>
      <c r="T238" s="2"/>
      <c r="U238" s="1"/>
    </row>
    <row r="239" spans="1:21" ht="20.100000000000001" customHeight="1" x14ac:dyDescent="0.25">
      <c r="A239" s="2"/>
      <c r="B239" s="2"/>
      <c r="C239" s="2"/>
      <c r="D239" s="2"/>
      <c r="E239" s="2"/>
      <c r="F239" s="2"/>
      <c r="G239" s="2"/>
      <c r="H239" s="2"/>
      <c r="I239" s="2"/>
      <c r="J239" s="92"/>
      <c r="K239" s="2"/>
      <c r="L239" s="92"/>
      <c r="M239" s="2"/>
      <c r="N239" s="2"/>
      <c r="O239" s="2"/>
      <c r="P239" s="3"/>
      <c r="Q239" s="2"/>
      <c r="R239" s="2"/>
      <c r="S239" s="2"/>
      <c r="T239" s="2"/>
      <c r="U239" s="1"/>
    </row>
    <row r="240" spans="1:21" ht="20.100000000000001" customHeight="1" x14ac:dyDescent="0.25">
      <c r="A240" s="2"/>
      <c r="B240" s="2"/>
      <c r="C240" s="2"/>
      <c r="D240" s="2"/>
      <c r="E240" s="2"/>
      <c r="F240" s="2"/>
      <c r="G240" s="2"/>
      <c r="H240" s="2"/>
      <c r="I240" s="2"/>
      <c r="J240" s="92"/>
      <c r="K240" s="2"/>
      <c r="L240" s="92"/>
      <c r="M240" s="2"/>
      <c r="N240" s="2"/>
      <c r="O240" s="2"/>
      <c r="P240" s="3"/>
      <c r="Q240" s="2"/>
      <c r="R240" s="2"/>
      <c r="S240" s="2"/>
      <c r="T240" s="2"/>
      <c r="U240" s="1"/>
    </row>
    <row r="241" spans="1:21" ht="20.100000000000001" customHeight="1" x14ac:dyDescent="0.25">
      <c r="A241" s="2"/>
      <c r="B241" s="2"/>
      <c r="C241" s="2"/>
      <c r="D241" s="2"/>
      <c r="E241" s="2"/>
      <c r="F241" s="2"/>
      <c r="G241" s="2"/>
      <c r="H241" s="2"/>
      <c r="I241" s="2"/>
      <c r="J241" s="92"/>
      <c r="K241" s="2"/>
      <c r="L241" s="92"/>
      <c r="M241" s="2"/>
      <c r="N241" s="2"/>
      <c r="O241" s="2"/>
      <c r="P241" s="3"/>
      <c r="Q241" s="2"/>
      <c r="R241" s="2"/>
      <c r="S241" s="2"/>
      <c r="T241" s="2"/>
      <c r="U241" s="1"/>
    </row>
    <row r="242" spans="1:21" ht="20.100000000000001" customHeight="1" x14ac:dyDescent="0.25">
      <c r="A242" s="2"/>
      <c r="B242" s="2"/>
      <c r="C242" s="2"/>
      <c r="D242" s="2"/>
      <c r="E242" s="2"/>
      <c r="F242" s="2"/>
      <c r="G242" s="2"/>
      <c r="H242" s="2"/>
      <c r="I242" s="2"/>
      <c r="J242" s="92"/>
      <c r="K242" s="2"/>
      <c r="L242" s="92"/>
      <c r="M242" s="2"/>
      <c r="N242" s="2"/>
      <c r="O242" s="2"/>
      <c r="P242" s="3"/>
      <c r="Q242" s="2"/>
      <c r="R242" s="2"/>
      <c r="S242" s="2"/>
      <c r="T242" s="2"/>
      <c r="U242" s="1"/>
    </row>
    <row r="243" spans="1:21" ht="20.100000000000001" customHeight="1" x14ac:dyDescent="0.25">
      <c r="A243" s="2"/>
      <c r="B243" s="2"/>
      <c r="C243" s="2"/>
      <c r="D243" s="2"/>
      <c r="E243" s="2"/>
      <c r="F243" s="2"/>
      <c r="G243" s="2"/>
      <c r="H243" s="2"/>
      <c r="I243" s="2"/>
      <c r="J243" s="92"/>
      <c r="K243" s="2"/>
      <c r="L243" s="92"/>
      <c r="M243" s="2"/>
      <c r="N243" s="2"/>
      <c r="O243" s="2"/>
      <c r="P243" s="3"/>
      <c r="Q243" s="2"/>
      <c r="R243" s="2"/>
      <c r="S243" s="2"/>
      <c r="T243" s="2"/>
      <c r="U243" s="1"/>
    </row>
    <row r="244" spans="1:21" ht="20.100000000000001" customHeight="1" x14ac:dyDescent="0.25">
      <c r="A244" s="2"/>
      <c r="B244" s="2"/>
      <c r="C244" s="2"/>
      <c r="D244" s="2"/>
      <c r="E244" s="2"/>
      <c r="F244" s="2"/>
      <c r="G244" s="2"/>
      <c r="H244" s="2"/>
      <c r="I244" s="2"/>
      <c r="J244" s="92"/>
      <c r="K244" s="2"/>
      <c r="L244" s="92"/>
      <c r="M244" s="2"/>
      <c r="N244" s="2"/>
      <c r="O244" s="2"/>
      <c r="P244" s="3"/>
      <c r="Q244" s="2"/>
      <c r="R244" s="2"/>
      <c r="S244" s="2"/>
      <c r="T244" s="2"/>
      <c r="U244" s="1"/>
    </row>
    <row r="245" spans="1:21" ht="20.100000000000001" customHeight="1" x14ac:dyDescent="0.25">
      <c r="A245" s="2"/>
      <c r="B245" s="2"/>
      <c r="C245" s="2"/>
      <c r="D245" s="2"/>
      <c r="E245" s="2"/>
      <c r="F245" s="2"/>
      <c r="G245" s="2"/>
      <c r="H245" s="2"/>
      <c r="I245" s="2"/>
      <c r="J245" s="92"/>
      <c r="K245" s="2"/>
      <c r="L245" s="92"/>
      <c r="M245" s="2"/>
      <c r="N245" s="2"/>
      <c r="O245" s="2"/>
      <c r="P245" s="3"/>
      <c r="Q245" s="2"/>
      <c r="R245" s="2"/>
      <c r="S245" s="2"/>
      <c r="T245" s="2"/>
      <c r="U245" s="1"/>
    </row>
    <row r="246" spans="1:21" ht="20.100000000000001" customHeight="1" x14ac:dyDescent="0.25">
      <c r="A246" s="2"/>
      <c r="B246" s="2"/>
      <c r="C246" s="2"/>
      <c r="D246" s="2"/>
      <c r="E246" s="2"/>
      <c r="F246" s="2"/>
      <c r="G246" s="2"/>
      <c r="H246" s="2"/>
      <c r="I246" s="2"/>
      <c r="J246" s="92"/>
      <c r="K246" s="2"/>
      <c r="L246" s="92"/>
      <c r="M246" s="2"/>
      <c r="N246" s="2"/>
      <c r="O246" s="2"/>
      <c r="P246" s="3"/>
      <c r="Q246" s="2"/>
      <c r="R246" s="2"/>
      <c r="S246" s="2"/>
      <c r="T246" s="2"/>
      <c r="U246" s="1"/>
    </row>
    <row r="247" spans="1:21" ht="20.100000000000001" customHeight="1" x14ac:dyDescent="0.25">
      <c r="A247" s="2"/>
      <c r="B247" s="2"/>
      <c r="C247" s="2"/>
      <c r="D247" s="2"/>
      <c r="E247" s="2"/>
      <c r="F247" s="2"/>
      <c r="G247" s="2"/>
      <c r="H247" s="2"/>
      <c r="I247" s="2"/>
      <c r="J247" s="92"/>
      <c r="K247" s="2"/>
      <c r="L247" s="92"/>
      <c r="M247" s="2"/>
      <c r="N247" s="2"/>
      <c r="O247" s="2"/>
      <c r="P247" s="3"/>
      <c r="Q247" s="2"/>
      <c r="R247" s="2"/>
      <c r="S247" s="2"/>
      <c r="T247" s="2"/>
      <c r="U247" s="1"/>
    </row>
    <row r="248" spans="1:21" ht="20.100000000000001" customHeight="1" x14ac:dyDescent="0.25">
      <c r="A248" s="2"/>
      <c r="B248" s="2"/>
      <c r="C248" s="2"/>
      <c r="D248" s="2"/>
      <c r="E248" s="2"/>
      <c r="F248" s="2"/>
      <c r="G248" s="2"/>
      <c r="H248" s="2"/>
      <c r="I248" s="2"/>
      <c r="J248" s="92"/>
      <c r="K248" s="2"/>
      <c r="L248" s="92"/>
      <c r="M248" s="2"/>
      <c r="N248" s="2"/>
      <c r="O248" s="2"/>
      <c r="P248" s="3"/>
      <c r="Q248" s="2"/>
      <c r="R248" s="2"/>
      <c r="S248" s="2"/>
      <c r="T248" s="2"/>
      <c r="U248" s="1"/>
    </row>
    <row r="249" spans="1:21" ht="20.100000000000001" customHeight="1" x14ac:dyDescent="0.25">
      <c r="A249" s="2"/>
      <c r="B249" s="2"/>
      <c r="C249" s="2"/>
      <c r="D249" s="2"/>
      <c r="E249" s="2"/>
      <c r="F249" s="2"/>
      <c r="G249" s="2"/>
      <c r="H249" s="2"/>
      <c r="I249" s="2"/>
      <c r="J249" s="92"/>
      <c r="K249" s="2"/>
      <c r="L249" s="92"/>
      <c r="M249" s="2"/>
      <c r="N249" s="2"/>
      <c r="O249" s="2"/>
      <c r="P249" s="3"/>
      <c r="Q249" s="2"/>
      <c r="R249" s="2"/>
      <c r="S249" s="2"/>
      <c r="T249" s="2"/>
      <c r="U249" s="1"/>
    </row>
    <row r="250" spans="1:21" ht="20.100000000000001" customHeight="1" x14ac:dyDescent="0.25">
      <c r="A250" s="2"/>
      <c r="B250" s="2"/>
      <c r="C250" s="2"/>
      <c r="D250" s="2"/>
      <c r="E250" s="2"/>
      <c r="F250" s="2"/>
      <c r="G250" s="2"/>
      <c r="H250" s="2"/>
      <c r="I250" s="2"/>
      <c r="J250" s="92"/>
      <c r="K250" s="2"/>
      <c r="L250" s="92"/>
      <c r="M250" s="2"/>
      <c r="N250" s="2"/>
      <c r="O250" s="2"/>
      <c r="P250" s="3"/>
      <c r="Q250" s="2"/>
      <c r="R250" s="2"/>
      <c r="S250" s="2"/>
      <c r="T250" s="2"/>
      <c r="U250" s="1"/>
    </row>
    <row r="251" spans="1:21" ht="20.100000000000001" customHeight="1" x14ac:dyDescent="0.25">
      <c r="A251" s="2"/>
      <c r="B251" s="2"/>
      <c r="C251" s="2"/>
      <c r="D251" s="2"/>
      <c r="E251" s="2"/>
      <c r="F251" s="2"/>
      <c r="G251" s="2"/>
      <c r="H251" s="2"/>
      <c r="I251" s="2"/>
      <c r="J251" s="92"/>
      <c r="K251" s="2"/>
      <c r="L251" s="92"/>
      <c r="M251" s="2"/>
      <c r="N251" s="2"/>
      <c r="O251" s="2"/>
      <c r="P251" s="3"/>
      <c r="Q251" s="2"/>
      <c r="R251" s="2"/>
      <c r="S251" s="2"/>
      <c r="T251" s="2"/>
      <c r="U251" s="1"/>
    </row>
    <row r="252" spans="1:21" ht="20.100000000000001" customHeight="1" x14ac:dyDescent="0.25">
      <c r="A252" s="2"/>
      <c r="B252" s="2"/>
      <c r="C252" s="2"/>
      <c r="D252" s="2"/>
      <c r="E252" s="2"/>
      <c r="F252" s="2"/>
      <c r="G252" s="2"/>
      <c r="H252" s="2"/>
      <c r="I252" s="2"/>
      <c r="J252" s="92"/>
      <c r="K252" s="2"/>
      <c r="L252" s="92"/>
      <c r="M252" s="2"/>
      <c r="N252" s="2"/>
      <c r="O252" s="2"/>
      <c r="P252" s="3"/>
      <c r="Q252" s="2"/>
      <c r="R252" s="2"/>
      <c r="S252" s="2"/>
      <c r="T252" s="2"/>
      <c r="U252" s="1"/>
    </row>
    <row r="253" spans="1:21" ht="20.100000000000001" customHeight="1" x14ac:dyDescent="0.25">
      <c r="A253" s="2"/>
      <c r="B253" s="2"/>
      <c r="C253" s="2"/>
      <c r="D253" s="2"/>
      <c r="E253" s="2"/>
      <c r="F253" s="2"/>
      <c r="G253" s="2"/>
      <c r="H253" s="2"/>
      <c r="I253" s="2"/>
      <c r="J253" s="92"/>
      <c r="K253" s="2"/>
      <c r="L253" s="92"/>
      <c r="M253" s="2"/>
      <c r="N253" s="2"/>
      <c r="O253" s="2"/>
      <c r="P253" s="3"/>
      <c r="Q253" s="2"/>
      <c r="R253" s="2"/>
      <c r="S253" s="2"/>
      <c r="T253" s="2"/>
      <c r="U253" s="1"/>
    </row>
    <row r="254" spans="1:21" ht="20.100000000000001" customHeight="1" x14ac:dyDescent="0.25">
      <c r="A254" s="2"/>
      <c r="B254" s="2"/>
      <c r="C254" s="2"/>
      <c r="D254" s="2"/>
      <c r="E254" s="2"/>
      <c r="F254" s="2"/>
      <c r="G254" s="2"/>
      <c r="H254" s="2"/>
      <c r="I254" s="2"/>
      <c r="J254" s="92"/>
      <c r="K254" s="2"/>
      <c r="L254" s="92"/>
      <c r="M254" s="2"/>
      <c r="N254" s="2"/>
      <c r="O254" s="2"/>
      <c r="P254" s="3"/>
      <c r="Q254" s="2"/>
      <c r="R254" s="2"/>
      <c r="S254" s="2"/>
      <c r="T254" s="2"/>
      <c r="U254" s="1"/>
    </row>
    <row r="255" spans="1:21" ht="20.100000000000001" customHeight="1" x14ac:dyDescent="0.25">
      <c r="A255" s="2"/>
      <c r="B255" s="2"/>
      <c r="C255" s="2"/>
      <c r="D255" s="2"/>
      <c r="E255" s="2"/>
      <c r="F255" s="2"/>
      <c r="G255" s="2"/>
      <c r="H255" s="2"/>
      <c r="I255" s="2"/>
      <c r="J255" s="92"/>
      <c r="K255" s="2"/>
      <c r="L255" s="92"/>
      <c r="M255" s="2"/>
      <c r="N255" s="2"/>
      <c r="O255" s="2"/>
      <c r="P255" s="3"/>
      <c r="Q255" s="2"/>
      <c r="R255" s="2"/>
      <c r="S255" s="2"/>
      <c r="T255" s="2"/>
      <c r="U255" s="1"/>
    </row>
    <row r="256" spans="1:21" ht="20.100000000000001" customHeight="1" x14ac:dyDescent="0.25">
      <c r="A256" s="2"/>
      <c r="B256" s="2"/>
      <c r="C256" s="2"/>
      <c r="D256" s="2"/>
      <c r="E256" s="2"/>
      <c r="F256" s="2"/>
      <c r="G256" s="2"/>
      <c r="H256" s="2"/>
      <c r="I256" s="2"/>
      <c r="J256" s="92"/>
      <c r="K256" s="2"/>
      <c r="L256" s="92"/>
      <c r="M256" s="2"/>
      <c r="N256" s="2"/>
      <c r="O256" s="2"/>
      <c r="P256" s="3"/>
      <c r="Q256" s="2"/>
      <c r="R256" s="2"/>
      <c r="S256" s="2"/>
      <c r="T256" s="2"/>
      <c r="U256" s="1"/>
    </row>
    <row r="257" spans="1:21" ht="20.100000000000001" customHeight="1" x14ac:dyDescent="0.25">
      <c r="A257" s="2"/>
      <c r="B257" s="2"/>
      <c r="C257" s="2"/>
      <c r="D257" s="2"/>
      <c r="E257" s="2"/>
      <c r="F257" s="2"/>
      <c r="G257" s="2"/>
      <c r="H257" s="2"/>
      <c r="I257" s="2"/>
      <c r="J257" s="92"/>
      <c r="K257" s="2"/>
      <c r="L257" s="92"/>
      <c r="M257" s="2"/>
      <c r="N257" s="2"/>
      <c r="O257" s="2"/>
      <c r="P257" s="3"/>
      <c r="Q257" s="2"/>
      <c r="R257" s="2"/>
      <c r="S257" s="2"/>
      <c r="T257" s="2"/>
      <c r="U257" s="1"/>
    </row>
    <row r="258" spans="1:21" ht="20.100000000000001" customHeight="1" x14ac:dyDescent="0.25">
      <c r="A258" s="2"/>
      <c r="B258" s="2"/>
      <c r="C258" s="2"/>
      <c r="D258" s="2"/>
      <c r="E258" s="2"/>
      <c r="F258" s="2"/>
      <c r="G258" s="2"/>
      <c r="H258" s="2"/>
      <c r="I258" s="2"/>
      <c r="J258" s="92"/>
      <c r="K258" s="2"/>
      <c r="L258" s="92"/>
      <c r="M258" s="2"/>
      <c r="N258" s="2"/>
      <c r="O258" s="2"/>
      <c r="P258" s="3"/>
      <c r="Q258" s="2"/>
      <c r="R258" s="2"/>
      <c r="S258" s="2"/>
      <c r="T258" s="2"/>
      <c r="U258" s="1"/>
    </row>
    <row r="259" spans="1:21" ht="20.100000000000001" customHeight="1" x14ac:dyDescent="0.25">
      <c r="A259" s="2"/>
      <c r="B259" s="2"/>
      <c r="C259" s="2"/>
      <c r="D259" s="2"/>
      <c r="E259" s="2"/>
      <c r="F259" s="2"/>
      <c r="G259" s="2"/>
      <c r="H259" s="2"/>
      <c r="I259" s="2"/>
      <c r="J259" s="92"/>
      <c r="K259" s="2"/>
      <c r="L259" s="92"/>
      <c r="M259" s="2"/>
      <c r="N259" s="2"/>
      <c r="O259" s="2"/>
      <c r="P259" s="3"/>
      <c r="Q259" s="2"/>
      <c r="R259" s="2"/>
      <c r="S259" s="2"/>
      <c r="T259" s="2"/>
      <c r="U259" s="1"/>
    </row>
    <row r="260" spans="1:21" ht="20.100000000000001" customHeight="1" x14ac:dyDescent="0.25">
      <c r="A260" s="2"/>
      <c r="B260" s="2"/>
      <c r="C260" s="2"/>
      <c r="D260" s="2"/>
      <c r="E260" s="2"/>
      <c r="F260" s="2"/>
      <c r="G260" s="2"/>
      <c r="H260" s="2"/>
      <c r="I260" s="2"/>
      <c r="J260" s="92"/>
      <c r="K260" s="2"/>
      <c r="L260" s="92"/>
      <c r="M260" s="2"/>
      <c r="N260" s="2"/>
      <c r="O260" s="2"/>
      <c r="P260" s="3"/>
      <c r="Q260" s="2"/>
      <c r="R260" s="2"/>
      <c r="S260" s="2"/>
      <c r="T260" s="2"/>
      <c r="U260" s="1"/>
    </row>
    <row r="261" spans="1:21" ht="20.100000000000001" customHeight="1" x14ac:dyDescent="0.25">
      <c r="A261" s="2"/>
      <c r="B261" s="2"/>
      <c r="C261" s="2"/>
      <c r="D261" s="2"/>
      <c r="E261" s="2"/>
      <c r="F261" s="2"/>
      <c r="G261" s="2"/>
      <c r="H261" s="2"/>
      <c r="I261" s="2"/>
      <c r="J261" s="92"/>
      <c r="K261" s="2"/>
      <c r="L261" s="92"/>
      <c r="M261" s="2"/>
      <c r="N261" s="2"/>
      <c r="O261" s="2"/>
      <c r="P261" s="3"/>
      <c r="Q261" s="2"/>
      <c r="R261" s="2"/>
      <c r="S261" s="2"/>
      <c r="T261" s="2"/>
      <c r="U261" s="1"/>
    </row>
    <row r="262" spans="1:21" ht="20.100000000000001" customHeight="1" x14ac:dyDescent="0.25">
      <c r="A262" s="2"/>
      <c r="B262" s="2"/>
      <c r="C262" s="2"/>
      <c r="D262" s="2"/>
      <c r="E262" s="2"/>
      <c r="F262" s="2"/>
      <c r="G262" s="2"/>
      <c r="H262" s="2"/>
      <c r="I262" s="2"/>
      <c r="J262" s="92"/>
      <c r="K262" s="2"/>
      <c r="L262" s="92"/>
      <c r="M262" s="2"/>
      <c r="N262" s="2"/>
      <c r="O262" s="2"/>
      <c r="P262" s="3"/>
      <c r="Q262" s="2"/>
      <c r="R262" s="2"/>
      <c r="S262" s="2"/>
      <c r="T262" s="2"/>
      <c r="U262" s="1"/>
    </row>
    <row r="263" spans="1:21" ht="20.100000000000001" customHeight="1" x14ac:dyDescent="0.25">
      <c r="A263" s="2"/>
      <c r="B263" s="2"/>
      <c r="C263" s="2"/>
      <c r="D263" s="2"/>
      <c r="E263" s="2"/>
      <c r="F263" s="2"/>
      <c r="G263" s="2"/>
      <c r="H263" s="2"/>
      <c r="I263" s="2"/>
      <c r="J263" s="92"/>
      <c r="K263" s="2"/>
      <c r="L263" s="92"/>
      <c r="M263" s="2"/>
      <c r="N263" s="2"/>
      <c r="O263" s="2"/>
      <c r="P263" s="3"/>
      <c r="Q263" s="2"/>
      <c r="R263" s="2"/>
      <c r="S263" s="2"/>
      <c r="T263" s="2"/>
      <c r="U263" s="1"/>
    </row>
    <row r="264" spans="1:21" ht="20.100000000000001" customHeight="1" x14ac:dyDescent="0.25">
      <c r="A264" s="2"/>
      <c r="B264" s="2"/>
      <c r="C264" s="2"/>
      <c r="D264" s="2"/>
      <c r="E264" s="2"/>
      <c r="F264" s="2"/>
      <c r="G264" s="2"/>
      <c r="H264" s="2"/>
      <c r="I264" s="2"/>
      <c r="J264" s="92"/>
      <c r="K264" s="2"/>
      <c r="L264" s="92"/>
      <c r="M264" s="2"/>
      <c r="N264" s="2"/>
      <c r="O264" s="2"/>
      <c r="P264" s="3"/>
      <c r="Q264" s="2"/>
      <c r="R264" s="2"/>
      <c r="S264" s="2"/>
      <c r="T264" s="2"/>
      <c r="U264" s="1"/>
    </row>
    <row r="265" spans="1:21" ht="20.100000000000001" customHeight="1" x14ac:dyDescent="0.25">
      <c r="A265" s="2"/>
      <c r="B265" s="2"/>
      <c r="C265" s="2"/>
      <c r="D265" s="2"/>
      <c r="E265" s="2"/>
      <c r="F265" s="2"/>
      <c r="G265" s="2"/>
      <c r="H265" s="2"/>
      <c r="I265" s="2"/>
      <c r="J265" s="92"/>
      <c r="K265" s="2"/>
      <c r="L265" s="92"/>
      <c r="M265" s="2"/>
      <c r="N265" s="2"/>
      <c r="O265" s="2"/>
      <c r="P265" s="3"/>
      <c r="Q265" s="2"/>
      <c r="R265" s="2"/>
      <c r="S265" s="2"/>
      <c r="T265" s="2"/>
      <c r="U265" s="1"/>
    </row>
    <row r="266" spans="1:21" ht="20.100000000000001" customHeight="1" x14ac:dyDescent="0.25">
      <c r="A266" s="2"/>
      <c r="B266" s="2"/>
      <c r="C266" s="2"/>
      <c r="D266" s="2"/>
      <c r="E266" s="2"/>
      <c r="F266" s="2"/>
      <c r="G266" s="2"/>
      <c r="H266" s="2"/>
      <c r="I266" s="2"/>
      <c r="J266" s="92"/>
      <c r="K266" s="2"/>
      <c r="L266" s="92"/>
      <c r="M266" s="2"/>
      <c r="N266" s="2"/>
      <c r="O266" s="2"/>
      <c r="P266" s="3"/>
      <c r="Q266" s="2"/>
      <c r="R266" s="2"/>
      <c r="S266" s="2"/>
      <c r="T266" s="2"/>
      <c r="U266" s="1"/>
    </row>
    <row r="267" spans="1:21" ht="20.100000000000001" customHeight="1" x14ac:dyDescent="0.25">
      <c r="A267" s="2"/>
      <c r="B267" s="2"/>
      <c r="C267" s="2"/>
      <c r="D267" s="2"/>
      <c r="E267" s="2"/>
      <c r="F267" s="2"/>
      <c r="G267" s="2"/>
      <c r="H267" s="2"/>
      <c r="I267" s="2"/>
      <c r="J267" s="92"/>
      <c r="K267" s="2"/>
      <c r="L267" s="92"/>
      <c r="M267" s="2"/>
      <c r="N267" s="2"/>
      <c r="O267" s="2"/>
      <c r="P267" s="3"/>
      <c r="Q267" s="2"/>
      <c r="R267" s="2"/>
      <c r="S267" s="2"/>
      <c r="T267" s="2"/>
      <c r="U267" s="1"/>
    </row>
    <row r="268" spans="1:21" ht="20.100000000000001" customHeight="1" x14ac:dyDescent="0.25">
      <c r="A268" s="2"/>
      <c r="B268" s="2"/>
      <c r="C268" s="2"/>
      <c r="D268" s="2"/>
      <c r="E268" s="2"/>
      <c r="F268" s="2"/>
      <c r="G268" s="2"/>
      <c r="H268" s="2"/>
      <c r="I268" s="2"/>
      <c r="J268" s="92"/>
      <c r="K268" s="2"/>
      <c r="L268" s="92"/>
      <c r="M268" s="2"/>
      <c r="N268" s="2"/>
      <c r="O268" s="2"/>
      <c r="P268" s="3"/>
      <c r="Q268" s="2"/>
      <c r="R268" s="2"/>
      <c r="S268" s="2"/>
      <c r="T268" s="2"/>
      <c r="U268" s="1"/>
    </row>
    <row r="269" spans="1:21" ht="20.100000000000001" customHeight="1" x14ac:dyDescent="0.25">
      <c r="A269" s="2"/>
      <c r="B269" s="2"/>
      <c r="C269" s="2"/>
      <c r="D269" s="2"/>
      <c r="E269" s="2"/>
      <c r="F269" s="2"/>
      <c r="G269" s="2"/>
      <c r="H269" s="2"/>
      <c r="I269" s="2"/>
      <c r="J269" s="92"/>
      <c r="K269" s="2"/>
      <c r="L269" s="92"/>
      <c r="M269" s="2"/>
      <c r="N269" s="2"/>
      <c r="O269" s="2"/>
      <c r="P269" s="3"/>
      <c r="Q269" s="2"/>
      <c r="R269" s="2"/>
      <c r="S269" s="2"/>
      <c r="T269" s="2"/>
      <c r="U269" s="1"/>
    </row>
    <row r="270" spans="1:21" ht="20.100000000000001" customHeight="1" x14ac:dyDescent="0.25">
      <c r="A270" s="2"/>
      <c r="B270" s="2"/>
      <c r="C270" s="2"/>
      <c r="D270" s="2"/>
      <c r="E270" s="2"/>
      <c r="F270" s="2"/>
      <c r="G270" s="2"/>
      <c r="H270" s="2"/>
      <c r="I270" s="2"/>
      <c r="J270" s="92"/>
      <c r="K270" s="2"/>
      <c r="L270" s="92"/>
      <c r="M270" s="2"/>
      <c r="N270" s="2"/>
      <c r="O270" s="2"/>
      <c r="P270" s="3"/>
      <c r="Q270" s="2"/>
      <c r="R270" s="2"/>
      <c r="S270" s="2"/>
      <c r="T270" s="2"/>
      <c r="U270" s="1"/>
    </row>
    <row r="271" spans="1:21" ht="20.100000000000001" customHeight="1" x14ac:dyDescent="0.25">
      <c r="A271" s="2"/>
      <c r="B271" s="2"/>
      <c r="C271" s="2"/>
      <c r="D271" s="2"/>
      <c r="E271" s="2"/>
      <c r="F271" s="2"/>
      <c r="G271" s="2"/>
      <c r="H271" s="2"/>
      <c r="I271" s="2"/>
      <c r="J271" s="92"/>
      <c r="K271" s="2"/>
      <c r="L271" s="92"/>
      <c r="M271" s="2"/>
      <c r="N271" s="2"/>
      <c r="O271" s="2"/>
      <c r="P271" s="3"/>
      <c r="Q271" s="2"/>
      <c r="R271" s="2"/>
      <c r="S271" s="2"/>
      <c r="T271" s="2"/>
      <c r="U271" s="1"/>
    </row>
    <row r="272" spans="1:21" ht="20.100000000000001" customHeight="1" x14ac:dyDescent="0.25">
      <c r="A272" s="2"/>
      <c r="B272" s="2"/>
      <c r="C272" s="2"/>
      <c r="D272" s="2"/>
      <c r="E272" s="2"/>
      <c r="F272" s="2"/>
      <c r="G272" s="2"/>
      <c r="H272" s="2"/>
      <c r="I272" s="2"/>
      <c r="J272" s="92"/>
      <c r="K272" s="2"/>
      <c r="L272" s="92"/>
      <c r="M272" s="2"/>
      <c r="N272" s="2"/>
      <c r="O272" s="2"/>
      <c r="P272" s="3"/>
      <c r="Q272" s="2"/>
      <c r="R272" s="2"/>
      <c r="S272" s="2"/>
      <c r="T272" s="2"/>
      <c r="U272" s="1"/>
    </row>
    <row r="273" spans="1:21" ht="20.100000000000001" customHeight="1" x14ac:dyDescent="0.25">
      <c r="A273" s="2"/>
      <c r="B273" s="2"/>
      <c r="C273" s="2"/>
      <c r="D273" s="2"/>
      <c r="E273" s="2"/>
      <c r="F273" s="2"/>
      <c r="G273" s="2"/>
      <c r="H273" s="2"/>
      <c r="I273" s="2"/>
      <c r="J273" s="92"/>
      <c r="K273" s="2"/>
      <c r="L273" s="92"/>
      <c r="M273" s="2"/>
      <c r="N273" s="2"/>
      <c r="O273" s="2"/>
      <c r="P273" s="3"/>
      <c r="Q273" s="2"/>
      <c r="R273" s="2"/>
      <c r="S273" s="2"/>
      <c r="T273" s="2"/>
      <c r="U273" s="1"/>
    </row>
    <row r="274" spans="1:21" ht="20.100000000000001" customHeight="1" x14ac:dyDescent="0.25">
      <c r="A274" s="2"/>
      <c r="B274" s="2"/>
      <c r="C274" s="2"/>
      <c r="D274" s="2"/>
      <c r="E274" s="2"/>
      <c r="F274" s="2"/>
      <c r="G274" s="2"/>
      <c r="H274" s="2"/>
      <c r="I274" s="2"/>
      <c r="J274" s="92"/>
      <c r="K274" s="2"/>
      <c r="L274" s="92"/>
      <c r="M274" s="2"/>
      <c r="N274" s="2"/>
      <c r="O274" s="2"/>
      <c r="P274" s="3"/>
      <c r="Q274" s="2"/>
      <c r="R274" s="2"/>
      <c r="S274" s="2"/>
      <c r="T274" s="2"/>
      <c r="U274" s="1"/>
    </row>
    <row r="275" spans="1:21" ht="20.100000000000001" customHeight="1" x14ac:dyDescent="0.25">
      <c r="A275" s="2"/>
      <c r="B275" s="2"/>
      <c r="C275" s="2"/>
      <c r="D275" s="2"/>
      <c r="E275" s="2"/>
      <c r="F275" s="2"/>
      <c r="G275" s="2"/>
      <c r="H275" s="2"/>
      <c r="I275" s="2"/>
      <c r="J275" s="92"/>
      <c r="K275" s="2"/>
      <c r="L275" s="92"/>
      <c r="M275" s="2"/>
      <c r="N275" s="2"/>
      <c r="O275" s="2"/>
      <c r="P275" s="3"/>
      <c r="Q275" s="2"/>
      <c r="R275" s="2"/>
      <c r="S275" s="2"/>
      <c r="T275" s="2"/>
      <c r="U275" s="1"/>
    </row>
    <row r="276" spans="1:21" ht="20.100000000000001" customHeight="1" x14ac:dyDescent="0.25">
      <c r="A276" s="2"/>
      <c r="B276" s="2"/>
      <c r="C276" s="2"/>
      <c r="D276" s="2"/>
      <c r="E276" s="2"/>
      <c r="F276" s="2"/>
      <c r="G276" s="2"/>
      <c r="H276" s="2"/>
      <c r="I276" s="2"/>
      <c r="J276" s="92"/>
      <c r="K276" s="2"/>
      <c r="L276" s="92"/>
      <c r="M276" s="2"/>
      <c r="N276" s="2"/>
      <c r="O276" s="2"/>
      <c r="P276" s="3"/>
      <c r="Q276" s="2"/>
      <c r="R276" s="2"/>
      <c r="S276" s="2"/>
      <c r="T276" s="2"/>
      <c r="U276" s="1"/>
    </row>
    <row r="277" spans="1:21" ht="20.100000000000001" customHeight="1" x14ac:dyDescent="0.25">
      <c r="A277" s="2"/>
      <c r="B277" s="2"/>
      <c r="C277" s="2"/>
      <c r="D277" s="2"/>
      <c r="E277" s="2"/>
      <c r="F277" s="2"/>
      <c r="G277" s="2"/>
      <c r="H277" s="2"/>
      <c r="I277" s="2"/>
      <c r="J277" s="92"/>
      <c r="K277" s="2"/>
      <c r="L277" s="92"/>
      <c r="M277" s="2"/>
      <c r="N277" s="2"/>
      <c r="O277" s="2"/>
      <c r="P277" s="3"/>
      <c r="Q277" s="2"/>
      <c r="R277" s="2"/>
      <c r="S277" s="2"/>
      <c r="T277" s="2"/>
      <c r="U277" s="1"/>
    </row>
    <row r="278" spans="1:21" ht="20.100000000000001" customHeight="1" x14ac:dyDescent="0.25">
      <c r="A278" s="2"/>
      <c r="B278" s="2"/>
      <c r="C278" s="2"/>
      <c r="D278" s="2"/>
      <c r="E278" s="2"/>
      <c r="F278" s="2"/>
      <c r="G278" s="2"/>
      <c r="H278" s="2"/>
      <c r="I278" s="2"/>
      <c r="J278" s="92"/>
      <c r="K278" s="2"/>
      <c r="L278" s="92"/>
      <c r="M278" s="2"/>
      <c r="N278" s="2"/>
      <c r="O278" s="2"/>
      <c r="P278" s="3"/>
      <c r="Q278" s="2"/>
      <c r="R278" s="2"/>
      <c r="S278" s="2"/>
      <c r="T278" s="2"/>
      <c r="U278" s="1"/>
    </row>
    <row r="279" spans="1:21" ht="20.100000000000001" customHeight="1" x14ac:dyDescent="0.25">
      <c r="A279" s="2"/>
      <c r="B279" s="2"/>
      <c r="C279" s="2"/>
      <c r="D279" s="2"/>
      <c r="E279" s="2"/>
      <c r="F279" s="2"/>
      <c r="G279" s="2"/>
      <c r="H279" s="2"/>
      <c r="I279" s="2"/>
      <c r="J279" s="92"/>
      <c r="K279" s="2"/>
      <c r="L279" s="92"/>
      <c r="M279" s="2"/>
      <c r="N279" s="2"/>
      <c r="O279" s="2"/>
      <c r="P279" s="3"/>
      <c r="Q279" s="2"/>
      <c r="R279" s="2"/>
      <c r="S279" s="2"/>
      <c r="T279" s="2"/>
      <c r="U279" s="1"/>
    </row>
    <row r="280" spans="1:21" ht="20.100000000000001" customHeight="1" x14ac:dyDescent="0.25">
      <c r="A280" s="2"/>
      <c r="B280" s="2"/>
      <c r="C280" s="2"/>
      <c r="D280" s="2"/>
      <c r="E280" s="2"/>
      <c r="F280" s="2"/>
      <c r="G280" s="2"/>
      <c r="H280" s="2"/>
      <c r="I280" s="2"/>
      <c r="J280" s="92"/>
      <c r="K280" s="2"/>
      <c r="L280" s="92"/>
      <c r="M280" s="2"/>
      <c r="N280" s="2"/>
      <c r="O280" s="2"/>
      <c r="P280" s="3"/>
      <c r="Q280" s="2"/>
      <c r="R280" s="2"/>
      <c r="S280" s="2"/>
      <c r="T280" s="2"/>
      <c r="U280" s="1"/>
    </row>
    <row r="281" spans="1:21" ht="20.100000000000001" customHeight="1" x14ac:dyDescent="0.25">
      <c r="A281" s="2"/>
      <c r="B281" s="2"/>
      <c r="C281" s="2"/>
      <c r="D281" s="2"/>
      <c r="E281" s="2"/>
      <c r="F281" s="2"/>
      <c r="G281" s="2"/>
      <c r="H281" s="2"/>
      <c r="I281" s="2"/>
      <c r="J281" s="92"/>
      <c r="K281" s="2"/>
      <c r="L281" s="92"/>
      <c r="M281" s="2"/>
      <c r="N281" s="2"/>
      <c r="O281" s="2"/>
      <c r="P281" s="3"/>
      <c r="Q281" s="2"/>
      <c r="R281" s="2"/>
      <c r="S281" s="2"/>
      <c r="T281" s="2"/>
      <c r="U281" s="1"/>
    </row>
    <row r="282" spans="1:21" ht="20.100000000000001" customHeight="1" x14ac:dyDescent="0.25">
      <c r="A282" s="2"/>
      <c r="B282" s="2"/>
      <c r="C282" s="2"/>
      <c r="D282" s="2"/>
      <c r="E282" s="2"/>
      <c r="F282" s="2"/>
      <c r="G282" s="2"/>
      <c r="H282" s="2"/>
      <c r="I282" s="2"/>
      <c r="J282" s="92"/>
      <c r="K282" s="2"/>
      <c r="L282" s="92"/>
      <c r="M282" s="2"/>
      <c r="N282" s="2"/>
      <c r="O282" s="2"/>
      <c r="P282" s="3"/>
      <c r="Q282" s="2"/>
      <c r="R282" s="2"/>
      <c r="S282" s="2"/>
      <c r="T282" s="2"/>
      <c r="U282" s="1"/>
    </row>
    <row r="283" spans="1:21" ht="20.100000000000001" customHeight="1" x14ac:dyDescent="0.25">
      <c r="A283" s="2"/>
      <c r="B283" s="2"/>
      <c r="C283" s="2"/>
      <c r="D283" s="2"/>
      <c r="E283" s="2"/>
      <c r="F283" s="2"/>
      <c r="G283" s="2"/>
      <c r="H283" s="2"/>
      <c r="I283" s="2"/>
      <c r="J283" s="92"/>
      <c r="K283" s="2"/>
      <c r="L283" s="92"/>
      <c r="M283" s="2"/>
      <c r="N283" s="2"/>
      <c r="O283" s="2"/>
      <c r="P283" s="3"/>
      <c r="Q283" s="2"/>
      <c r="R283" s="2"/>
      <c r="S283" s="2"/>
      <c r="T283" s="2"/>
      <c r="U283" s="1"/>
    </row>
    <row r="284" spans="1:21" ht="20.100000000000001" customHeight="1" x14ac:dyDescent="0.25">
      <c r="A284" s="2"/>
      <c r="B284" s="2"/>
      <c r="C284" s="2"/>
      <c r="D284" s="2"/>
      <c r="E284" s="2"/>
      <c r="F284" s="2"/>
      <c r="G284" s="2"/>
      <c r="H284" s="2"/>
      <c r="I284" s="2"/>
      <c r="J284" s="92"/>
      <c r="K284" s="2"/>
      <c r="L284" s="92"/>
      <c r="M284" s="2"/>
      <c r="N284" s="2"/>
      <c r="O284" s="2"/>
      <c r="P284" s="3"/>
      <c r="Q284" s="2"/>
      <c r="R284" s="2"/>
      <c r="S284" s="2"/>
      <c r="T284" s="2"/>
      <c r="U284" s="1"/>
    </row>
    <row r="285" spans="1:21" ht="20.100000000000001" customHeight="1" x14ac:dyDescent="0.25">
      <c r="A285" s="2"/>
      <c r="B285" s="2"/>
      <c r="C285" s="2"/>
      <c r="D285" s="2"/>
      <c r="E285" s="2"/>
      <c r="F285" s="2"/>
      <c r="G285" s="2"/>
      <c r="H285" s="2"/>
      <c r="I285" s="2"/>
      <c r="J285" s="92"/>
      <c r="K285" s="2"/>
      <c r="L285" s="92"/>
      <c r="M285" s="2"/>
      <c r="N285" s="2"/>
      <c r="O285" s="2"/>
      <c r="P285" s="3"/>
      <c r="Q285" s="2"/>
      <c r="R285" s="2"/>
      <c r="S285" s="2"/>
      <c r="T285" s="2"/>
      <c r="U285" s="1"/>
    </row>
    <row r="286" spans="1:21" ht="20.100000000000001" customHeight="1" x14ac:dyDescent="0.25">
      <c r="A286" s="2"/>
      <c r="B286" s="2"/>
      <c r="C286" s="2"/>
      <c r="D286" s="2"/>
      <c r="E286" s="2"/>
      <c r="F286" s="2"/>
      <c r="G286" s="2"/>
      <c r="H286" s="2"/>
      <c r="I286" s="2"/>
      <c r="J286" s="92"/>
      <c r="K286" s="2"/>
      <c r="L286" s="92"/>
      <c r="M286" s="2"/>
      <c r="N286" s="2"/>
      <c r="O286" s="2"/>
      <c r="P286" s="3"/>
      <c r="Q286" s="2"/>
      <c r="R286" s="2"/>
      <c r="S286" s="2"/>
      <c r="T286" s="2"/>
      <c r="U286" s="1"/>
    </row>
    <row r="287" spans="1:21" ht="20.100000000000001" customHeight="1" x14ac:dyDescent="0.25">
      <c r="A287" s="2"/>
      <c r="B287" s="2"/>
      <c r="C287" s="2"/>
      <c r="D287" s="2"/>
      <c r="E287" s="2"/>
      <c r="F287" s="2"/>
      <c r="G287" s="2"/>
      <c r="H287" s="2"/>
      <c r="I287" s="2"/>
      <c r="J287" s="92"/>
      <c r="K287" s="2"/>
      <c r="L287" s="92"/>
      <c r="M287" s="2"/>
      <c r="N287" s="2"/>
      <c r="O287" s="2"/>
      <c r="P287" s="3"/>
      <c r="Q287" s="2"/>
      <c r="R287" s="2"/>
      <c r="S287" s="2"/>
      <c r="T287" s="2"/>
      <c r="U287" s="1"/>
    </row>
    <row r="288" spans="1:21" ht="20.100000000000001" customHeight="1" x14ac:dyDescent="0.25">
      <c r="A288" s="2"/>
      <c r="B288" s="2"/>
      <c r="C288" s="2"/>
      <c r="D288" s="2"/>
      <c r="E288" s="2"/>
      <c r="F288" s="2"/>
      <c r="G288" s="2"/>
      <c r="H288" s="2"/>
      <c r="I288" s="2"/>
      <c r="J288" s="92"/>
      <c r="K288" s="2"/>
      <c r="L288" s="92"/>
      <c r="M288" s="2"/>
      <c r="N288" s="2"/>
      <c r="O288" s="2"/>
      <c r="P288" s="3"/>
      <c r="Q288" s="2"/>
      <c r="R288" s="2"/>
      <c r="S288" s="2"/>
      <c r="T288" s="2"/>
      <c r="U288" s="1"/>
    </row>
    <row r="289" spans="1:21" ht="20.100000000000001" customHeight="1" x14ac:dyDescent="0.25">
      <c r="A289" s="2"/>
      <c r="B289" s="2"/>
      <c r="C289" s="2"/>
      <c r="D289" s="2"/>
      <c r="E289" s="2"/>
      <c r="F289" s="2"/>
      <c r="G289" s="2"/>
      <c r="H289" s="2"/>
      <c r="I289" s="2"/>
      <c r="J289" s="92"/>
      <c r="K289" s="2"/>
      <c r="L289" s="92"/>
      <c r="M289" s="2"/>
      <c r="N289" s="2"/>
      <c r="O289" s="2"/>
      <c r="P289" s="3"/>
      <c r="Q289" s="2"/>
      <c r="R289" s="2"/>
      <c r="S289" s="2"/>
      <c r="T289" s="2"/>
      <c r="U289" s="1"/>
    </row>
    <row r="290" spans="1:21" ht="20.100000000000001" customHeight="1" x14ac:dyDescent="0.25">
      <c r="A290" s="2"/>
      <c r="B290" s="2"/>
      <c r="C290" s="2"/>
      <c r="D290" s="2"/>
      <c r="E290" s="2"/>
      <c r="F290" s="2"/>
      <c r="G290" s="2"/>
      <c r="H290" s="2"/>
      <c r="I290" s="2"/>
      <c r="J290" s="92"/>
      <c r="K290" s="2"/>
      <c r="L290" s="92"/>
      <c r="M290" s="2"/>
      <c r="N290" s="2"/>
      <c r="O290" s="2"/>
      <c r="P290" s="3"/>
      <c r="Q290" s="2"/>
      <c r="R290" s="2"/>
      <c r="S290" s="2"/>
      <c r="T290" s="2"/>
      <c r="U290" s="1"/>
    </row>
    <row r="291" spans="1:21" ht="20.100000000000001" customHeight="1" x14ac:dyDescent="0.25">
      <c r="A291" s="2"/>
      <c r="B291" s="2"/>
      <c r="C291" s="2"/>
      <c r="D291" s="2"/>
      <c r="E291" s="2"/>
      <c r="F291" s="2"/>
      <c r="G291" s="2"/>
      <c r="H291" s="2"/>
      <c r="I291" s="2"/>
      <c r="J291" s="92"/>
      <c r="K291" s="2"/>
      <c r="L291" s="92"/>
      <c r="M291" s="2"/>
      <c r="N291" s="2"/>
      <c r="O291" s="2"/>
      <c r="P291" s="3"/>
      <c r="Q291" s="2"/>
      <c r="R291" s="2"/>
      <c r="S291" s="2"/>
      <c r="T291" s="2"/>
      <c r="U291" s="1"/>
    </row>
    <row r="292" spans="1:21" ht="20.100000000000001" customHeight="1" x14ac:dyDescent="0.25">
      <c r="A292" s="2"/>
      <c r="B292" s="2"/>
      <c r="C292" s="2"/>
      <c r="D292" s="2"/>
      <c r="E292" s="2"/>
      <c r="F292" s="2"/>
      <c r="G292" s="2"/>
      <c r="H292" s="2"/>
      <c r="I292" s="2"/>
      <c r="J292" s="92"/>
      <c r="K292" s="2"/>
      <c r="L292" s="92"/>
      <c r="M292" s="2"/>
      <c r="N292" s="2"/>
      <c r="O292" s="2"/>
      <c r="P292" s="3"/>
      <c r="Q292" s="2"/>
      <c r="R292" s="2"/>
      <c r="S292" s="2"/>
      <c r="T292" s="2"/>
      <c r="U292" s="1"/>
    </row>
    <row r="293" spans="1:21" ht="20.100000000000001" customHeight="1" x14ac:dyDescent="0.25">
      <c r="A293" s="2"/>
      <c r="B293" s="2"/>
      <c r="C293" s="2"/>
      <c r="D293" s="2"/>
      <c r="E293" s="2"/>
      <c r="F293" s="2"/>
      <c r="G293" s="2"/>
      <c r="H293" s="2"/>
      <c r="I293" s="2"/>
      <c r="J293" s="92"/>
      <c r="K293" s="2"/>
      <c r="L293" s="92"/>
      <c r="M293" s="2"/>
      <c r="N293" s="2"/>
      <c r="O293" s="2"/>
      <c r="P293" s="3"/>
      <c r="Q293" s="2"/>
      <c r="R293" s="2"/>
      <c r="S293" s="2"/>
      <c r="T293" s="2"/>
      <c r="U293" s="1"/>
    </row>
    <row r="294" spans="1:21" ht="20.100000000000001" customHeight="1" x14ac:dyDescent="0.25">
      <c r="U294" s="1"/>
    </row>
    <row r="295" spans="1:21" ht="20.100000000000001" customHeight="1" x14ac:dyDescent="0.25">
      <c r="U295" s="1"/>
    </row>
    <row r="296" spans="1:21" ht="20.100000000000001" customHeight="1" x14ac:dyDescent="0.25">
      <c r="U296" s="1"/>
    </row>
    <row r="297" spans="1:21" ht="20.100000000000001" customHeight="1" x14ac:dyDescent="0.25">
      <c r="U297" s="1"/>
    </row>
    <row r="298" spans="1:21" ht="20.100000000000001" customHeight="1" x14ac:dyDescent="0.25">
      <c r="U298" s="1"/>
    </row>
    <row r="299" spans="1:21" ht="20.100000000000001" customHeight="1" x14ac:dyDescent="0.25">
      <c r="U299" s="1"/>
    </row>
    <row r="300" spans="1:21" ht="20.100000000000001" customHeight="1" x14ac:dyDescent="0.25">
      <c r="U300" s="1"/>
    </row>
    <row r="301" spans="1:21" ht="20.100000000000001" customHeight="1" x14ac:dyDescent="0.25">
      <c r="U301" s="1"/>
    </row>
    <row r="302" spans="1:21" ht="20.100000000000001" customHeight="1" x14ac:dyDescent="0.25">
      <c r="U302" s="1"/>
    </row>
    <row r="303" spans="1:21" ht="20.100000000000001" customHeight="1" x14ac:dyDescent="0.25">
      <c r="U303" s="1"/>
    </row>
    <row r="304" spans="1:21" ht="20.100000000000001" customHeight="1" x14ac:dyDescent="0.25">
      <c r="U304" s="1"/>
    </row>
    <row r="305" spans="21:21" ht="20.100000000000001" customHeight="1" x14ac:dyDescent="0.25">
      <c r="U305" s="1"/>
    </row>
    <row r="306" spans="21:21" ht="20.100000000000001" customHeight="1" x14ac:dyDescent="0.25">
      <c r="U306" s="1"/>
    </row>
    <row r="307" spans="21:21" ht="20.100000000000001" customHeight="1" x14ac:dyDescent="0.25">
      <c r="U307" s="1"/>
    </row>
    <row r="308" spans="21:21" ht="20.100000000000001" customHeight="1" x14ac:dyDescent="0.25">
      <c r="U308" s="1"/>
    </row>
    <row r="309" spans="21:21" ht="20.100000000000001" customHeight="1" x14ac:dyDescent="0.25">
      <c r="U309" s="1"/>
    </row>
    <row r="310" spans="21:21" ht="20.100000000000001" customHeight="1" x14ac:dyDescent="0.25">
      <c r="U310" s="1"/>
    </row>
    <row r="311" spans="21:21" ht="20.100000000000001" customHeight="1" x14ac:dyDescent="0.25">
      <c r="U311" s="1"/>
    </row>
    <row r="312" spans="21:21" ht="20.100000000000001" customHeight="1" x14ac:dyDescent="0.25">
      <c r="U312" s="1"/>
    </row>
    <row r="313" spans="21:21" ht="20.100000000000001" customHeight="1" x14ac:dyDescent="0.25">
      <c r="U313" s="1"/>
    </row>
    <row r="314" spans="21:21" ht="20.100000000000001" customHeight="1" x14ac:dyDescent="0.25">
      <c r="U314" s="1"/>
    </row>
    <row r="315" spans="21:21" ht="20.100000000000001" customHeight="1" x14ac:dyDescent="0.25">
      <c r="U315" s="1"/>
    </row>
    <row r="316" spans="21:21" ht="20.100000000000001" customHeight="1" x14ac:dyDescent="0.25">
      <c r="U316" s="1"/>
    </row>
    <row r="317" spans="21:21" ht="20.100000000000001" customHeight="1" x14ac:dyDescent="0.25">
      <c r="U317" s="1"/>
    </row>
    <row r="318" spans="21:21" ht="20.100000000000001" customHeight="1" x14ac:dyDescent="0.25">
      <c r="U318" s="1"/>
    </row>
    <row r="319" spans="21:21" ht="20.100000000000001" customHeight="1" x14ac:dyDescent="0.25">
      <c r="U319" s="1"/>
    </row>
    <row r="320" spans="21:21" ht="20.100000000000001" customHeight="1" x14ac:dyDescent="0.25">
      <c r="U320" s="1"/>
    </row>
    <row r="321" spans="21:21" ht="20.100000000000001" customHeight="1" x14ac:dyDescent="0.25">
      <c r="U321" s="1"/>
    </row>
    <row r="322" spans="21:21" ht="20.100000000000001" customHeight="1" x14ac:dyDescent="0.25">
      <c r="U322" s="1"/>
    </row>
    <row r="323" spans="21:21" ht="20.100000000000001" customHeight="1" x14ac:dyDescent="0.25">
      <c r="U323" s="1"/>
    </row>
    <row r="324" spans="21:21" ht="20.100000000000001" customHeight="1" x14ac:dyDescent="0.25">
      <c r="U324" s="1"/>
    </row>
    <row r="325" spans="21:21" ht="20.100000000000001" customHeight="1" x14ac:dyDescent="0.25">
      <c r="U325" s="1"/>
    </row>
    <row r="326" spans="21:21" ht="20.100000000000001" customHeight="1" x14ac:dyDescent="0.25">
      <c r="U326" s="1"/>
    </row>
    <row r="327" spans="21:21" ht="20.100000000000001" customHeight="1" x14ac:dyDescent="0.25">
      <c r="U327" s="1"/>
    </row>
    <row r="328" spans="21:21" ht="20.100000000000001" customHeight="1" x14ac:dyDescent="0.25">
      <c r="U328" s="1"/>
    </row>
    <row r="329" spans="21:21" ht="20.100000000000001" customHeight="1" x14ac:dyDescent="0.25">
      <c r="U329" s="1"/>
    </row>
    <row r="330" spans="21:21" ht="20.100000000000001" customHeight="1" x14ac:dyDescent="0.25">
      <c r="U330" s="1"/>
    </row>
    <row r="331" spans="21:21" ht="20.100000000000001" customHeight="1" x14ac:dyDescent="0.25">
      <c r="U331" s="1"/>
    </row>
    <row r="332" spans="21:21" ht="20.100000000000001" customHeight="1" x14ac:dyDescent="0.25">
      <c r="U332" s="1"/>
    </row>
    <row r="333" spans="21:21" ht="20.100000000000001" customHeight="1" x14ac:dyDescent="0.25">
      <c r="U333" s="1"/>
    </row>
    <row r="334" spans="21:21" ht="20.100000000000001" customHeight="1" x14ac:dyDescent="0.25">
      <c r="U334" s="1"/>
    </row>
    <row r="335" spans="21:21" ht="20.100000000000001" customHeight="1" x14ac:dyDescent="0.25">
      <c r="U335" s="1"/>
    </row>
    <row r="336" spans="21:21" ht="20.100000000000001" customHeight="1" x14ac:dyDescent="0.25">
      <c r="U336" s="1"/>
    </row>
    <row r="337" spans="21:21" ht="20.100000000000001" customHeight="1" x14ac:dyDescent="0.25">
      <c r="U337" s="1"/>
    </row>
    <row r="338" spans="21:21" ht="20.100000000000001" customHeight="1" x14ac:dyDescent="0.25">
      <c r="U338" s="1"/>
    </row>
    <row r="339" spans="21:21" ht="20.100000000000001" customHeight="1" x14ac:dyDescent="0.25">
      <c r="U339" s="1"/>
    </row>
    <row r="340" spans="21:21" ht="20.100000000000001" customHeight="1" x14ac:dyDescent="0.25">
      <c r="U340" s="1"/>
    </row>
    <row r="341" spans="21:21" ht="20.100000000000001" customHeight="1" x14ac:dyDescent="0.25">
      <c r="U341" s="1"/>
    </row>
    <row r="342" spans="21:21" ht="20.100000000000001" customHeight="1" x14ac:dyDescent="0.25">
      <c r="U342" s="1"/>
    </row>
    <row r="343" spans="21:21" ht="20.100000000000001" customHeight="1" x14ac:dyDescent="0.25">
      <c r="U343" s="1"/>
    </row>
    <row r="344" spans="21:21" ht="20.100000000000001" customHeight="1" x14ac:dyDescent="0.25">
      <c r="U344" s="1"/>
    </row>
    <row r="345" spans="21:21" ht="20.100000000000001" customHeight="1" x14ac:dyDescent="0.25">
      <c r="U345" s="1"/>
    </row>
    <row r="346" spans="21:21" ht="20.100000000000001" customHeight="1" x14ac:dyDescent="0.25">
      <c r="U346" s="1"/>
    </row>
    <row r="347" spans="21:21" ht="20.100000000000001" customHeight="1" x14ac:dyDescent="0.25">
      <c r="U347" s="1"/>
    </row>
    <row r="348" spans="21:21" ht="20.100000000000001" customHeight="1" x14ac:dyDescent="0.25">
      <c r="U348" s="1"/>
    </row>
    <row r="349" spans="21:21" ht="20.100000000000001" customHeight="1" x14ac:dyDescent="0.25">
      <c r="U349" s="1"/>
    </row>
    <row r="350" spans="21:21" ht="20.100000000000001" customHeight="1" x14ac:dyDescent="0.25">
      <c r="U350" s="1"/>
    </row>
    <row r="351" spans="21:21" ht="20.100000000000001" customHeight="1" x14ac:dyDescent="0.25">
      <c r="U351" s="1"/>
    </row>
    <row r="352" spans="21:21" ht="20.100000000000001" customHeight="1" x14ac:dyDescent="0.25">
      <c r="U352" s="1"/>
    </row>
    <row r="353" spans="21:21" ht="20.100000000000001" customHeight="1" x14ac:dyDescent="0.25">
      <c r="U353" s="1"/>
    </row>
    <row r="354" spans="21:21" ht="20.100000000000001" customHeight="1" x14ac:dyDescent="0.25">
      <c r="U354" s="1"/>
    </row>
    <row r="355" spans="21:21" ht="20.100000000000001" customHeight="1" x14ac:dyDescent="0.25">
      <c r="U355" s="1"/>
    </row>
    <row r="356" spans="21:21" ht="20.100000000000001" customHeight="1" x14ac:dyDescent="0.25">
      <c r="U356" s="1"/>
    </row>
    <row r="357" spans="21:21" ht="20.100000000000001" customHeight="1" x14ac:dyDescent="0.25">
      <c r="U357" s="1"/>
    </row>
    <row r="358" spans="21:21" ht="20.100000000000001" customHeight="1" x14ac:dyDescent="0.25">
      <c r="U358" s="1"/>
    </row>
    <row r="359" spans="21:21" ht="20.100000000000001" customHeight="1" x14ac:dyDescent="0.25">
      <c r="U359" s="1"/>
    </row>
    <row r="360" spans="21:21" ht="20.100000000000001" customHeight="1" x14ac:dyDescent="0.25">
      <c r="U360" s="1"/>
    </row>
    <row r="361" spans="21:21" ht="20.100000000000001" customHeight="1" x14ac:dyDescent="0.25">
      <c r="U361" s="1"/>
    </row>
    <row r="362" spans="21:21" ht="20.100000000000001" customHeight="1" x14ac:dyDescent="0.25">
      <c r="U362" s="1"/>
    </row>
    <row r="363" spans="21:21" ht="20.100000000000001" customHeight="1" x14ac:dyDescent="0.25">
      <c r="U363" s="1"/>
    </row>
    <row r="364" spans="21:21" ht="20.100000000000001" customHeight="1" x14ac:dyDescent="0.25">
      <c r="U364" s="1"/>
    </row>
    <row r="365" spans="21:21" ht="20.100000000000001" customHeight="1" x14ac:dyDescent="0.25">
      <c r="U365" s="1"/>
    </row>
    <row r="366" spans="21:21" ht="20.100000000000001" customHeight="1" x14ac:dyDescent="0.25">
      <c r="U366" s="1"/>
    </row>
    <row r="367" spans="21:21" ht="20.100000000000001" customHeight="1" x14ac:dyDescent="0.25">
      <c r="U367" s="1"/>
    </row>
    <row r="368" spans="21:21" ht="20.100000000000001" customHeight="1" x14ac:dyDescent="0.25">
      <c r="U368" s="1"/>
    </row>
    <row r="369" spans="21:21" ht="20.100000000000001" customHeight="1" x14ac:dyDescent="0.25">
      <c r="U369" s="1"/>
    </row>
    <row r="370" spans="21:21" ht="20.100000000000001" customHeight="1" x14ac:dyDescent="0.25">
      <c r="U370" s="1"/>
    </row>
    <row r="371" spans="21:21" ht="20.100000000000001" customHeight="1" x14ac:dyDescent="0.25">
      <c r="U371" s="1"/>
    </row>
    <row r="372" spans="21:21" ht="20.100000000000001" customHeight="1" x14ac:dyDescent="0.25">
      <c r="U372" s="1"/>
    </row>
    <row r="373" spans="21:21" ht="20.100000000000001" customHeight="1" x14ac:dyDescent="0.25">
      <c r="U373" s="1"/>
    </row>
    <row r="374" spans="21:21" ht="20.100000000000001" customHeight="1" x14ac:dyDescent="0.25">
      <c r="U374" s="1"/>
    </row>
    <row r="375" spans="21:21" ht="20.100000000000001" customHeight="1" x14ac:dyDescent="0.25">
      <c r="U375" s="1"/>
    </row>
    <row r="376" spans="21:21" ht="20.100000000000001" customHeight="1" x14ac:dyDescent="0.25">
      <c r="U376" s="1"/>
    </row>
    <row r="377" spans="21:21" ht="20.100000000000001" customHeight="1" x14ac:dyDescent="0.25">
      <c r="U377" s="1"/>
    </row>
    <row r="378" spans="21:21" ht="20.100000000000001" customHeight="1" x14ac:dyDescent="0.25">
      <c r="U378" s="1"/>
    </row>
    <row r="379" spans="21:21" ht="20.100000000000001" customHeight="1" x14ac:dyDescent="0.25">
      <c r="U379" s="1"/>
    </row>
    <row r="380" spans="21:21" ht="20.100000000000001" customHeight="1" x14ac:dyDescent="0.25">
      <c r="U380" s="1"/>
    </row>
    <row r="381" spans="21:21" ht="20.100000000000001" customHeight="1" x14ac:dyDescent="0.25">
      <c r="U381" s="1"/>
    </row>
    <row r="382" spans="21:21" ht="20.100000000000001" customHeight="1" x14ac:dyDescent="0.25">
      <c r="U382" s="1"/>
    </row>
    <row r="383" spans="21:21" ht="20.100000000000001" customHeight="1" x14ac:dyDescent="0.25">
      <c r="U383" s="1"/>
    </row>
    <row r="384" spans="21:21" ht="20.100000000000001" customHeight="1" x14ac:dyDescent="0.25">
      <c r="U384" s="1"/>
    </row>
    <row r="385" spans="21:21" ht="20.100000000000001" customHeight="1" x14ac:dyDescent="0.25">
      <c r="U385" s="1"/>
    </row>
    <row r="386" spans="21:21" ht="20.100000000000001" customHeight="1" x14ac:dyDescent="0.25">
      <c r="U386" s="1"/>
    </row>
    <row r="387" spans="21:21" ht="20.100000000000001" customHeight="1" x14ac:dyDescent="0.25">
      <c r="U387" s="1"/>
    </row>
    <row r="388" spans="21:21" ht="20.100000000000001" customHeight="1" x14ac:dyDescent="0.25">
      <c r="U388" s="1"/>
    </row>
    <row r="389" spans="21:21" ht="20.100000000000001" customHeight="1" x14ac:dyDescent="0.25">
      <c r="U389" s="1"/>
    </row>
    <row r="390" spans="21:21" ht="20.100000000000001" customHeight="1" x14ac:dyDescent="0.25">
      <c r="U390" s="1"/>
    </row>
    <row r="391" spans="21:21" ht="20.100000000000001" customHeight="1" x14ac:dyDescent="0.25">
      <c r="U391" s="1"/>
    </row>
    <row r="392" spans="21:21" ht="20.100000000000001" customHeight="1" x14ac:dyDescent="0.25">
      <c r="U392" s="1"/>
    </row>
    <row r="393" spans="21:21" ht="20.100000000000001" customHeight="1" x14ac:dyDescent="0.25">
      <c r="U393" s="1"/>
    </row>
    <row r="394" spans="21:21" ht="20.100000000000001" customHeight="1" x14ac:dyDescent="0.25">
      <c r="U394" s="1"/>
    </row>
    <row r="395" spans="21:21" ht="20.100000000000001" customHeight="1" x14ac:dyDescent="0.25">
      <c r="U395" s="1"/>
    </row>
    <row r="396" spans="21:21" ht="20.100000000000001" customHeight="1" x14ac:dyDescent="0.25">
      <c r="U396" s="1"/>
    </row>
    <row r="397" spans="21:21" ht="20.100000000000001" customHeight="1" x14ac:dyDescent="0.25">
      <c r="U397" s="1"/>
    </row>
    <row r="398" spans="21:21" ht="20.100000000000001" customHeight="1" x14ac:dyDescent="0.25">
      <c r="U398" s="1"/>
    </row>
    <row r="399" spans="21:21" ht="20.100000000000001" customHeight="1" x14ac:dyDescent="0.25">
      <c r="U399" s="1"/>
    </row>
    <row r="400" spans="21:21" ht="20.100000000000001" customHeight="1" x14ac:dyDescent="0.25">
      <c r="U400" s="1"/>
    </row>
    <row r="401" spans="21:21" ht="20.100000000000001" customHeight="1" x14ac:dyDescent="0.25">
      <c r="U401" s="1"/>
    </row>
    <row r="402" spans="21:21" ht="20.100000000000001" customHeight="1" x14ac:dyDescent="0.25">
      <c r="U402" s="1"/>
    </row>
    <row r="403" spans="21:21" ht="20.100000000000001" customHeight="1" x14ac:dyDescent="0.25">
      <c r="U403" s="1"/>
    </row>
    <row r="404" spans="21:21" ht="20.100000000000001" customHeight="1" x14ac:dyDescent="0.25">
      <c r="U404" s="1"/>
    </row>
    <row r="405" spans="21:21" ht="20.100000000000001" customHeight="1" x14ac:dyDescent="0.25">
      <c r="U405" s="1"/>
    </row>
    <row r="406" spans="21:21" ht="20.100000000000001" customHeight="1" x14ac:dyDescent="0.25">
      <c r="U406" s="1"/>
    </row>
    <row r="407" spans="21:21" ht="20.100000000000001" customHeight="1" x14ac:dyDescent="0.25">
      <c r="U407" s="1"/>
    </row>
    <row r="408" spans="21:21" ht="20.100000000000001" customHeight="1" x14ac:dyDescent="0.25">
      <c r="U408" s="1"/>
    </row>
    <row r="409" spans="21:21" ht="20.100000000000001" customHeight="1" x14ac:dyDescent="0.25">
      <c r="U409" s="1"/>
    </row>
    <row r="410" spans="21:21" ht="20.100000000000001" customHeight="1" x14ac:dyDescent="0.25">
      <c r="U410" s="1"/>
    </row>
    <row r="411" spans="21:21" ht="20.100000000000001" customHeight="1" x14ac:dyDescent="0.25">
      <c r="U411" s="1"/>
    </row>
    <row r="412" spans="21:21" ht="20.100000000000001" customHeight="1" x14ac:dyDescent="0.25">
      <c r="U412" s="1"/>
    </row>
    <row r="413" spans="21:21" ht="20.100000000000001" customHeight="1" x14ac:dyDescent="0.25">
      <c r="U413" s="1"/>
    </row>
    <row r="414" spans="21:21" ht="20.100000000000001" customHeight="1" x14ac:dyDescent="0.25">
      <c r="U414" s="1"/>
    </row>
    <row r="415" spans="21:21" ht="20.100000000000001" customHeight="1" x14ac:dyDescent="0.25">
      <c r="U415" s="1"/>
    </row>
    <row r="416" spans="21:21" ht="20.100000000000001" customHeight="1" x14ac:dyDescent="0.25">
      <c r="U416" s="1"/>
    </row>
    <row r="417" spans="21:21" ht="20.100000000000001" customHeight="1" x14ac:dyDescent="0.25">
      <c r="U417" s="1"/>
    </row>
    <row r="418" spans="21:21" ht="20.100000000000001" customHeight="1" x14ac:dyDescent="0.25">
      <c r="U418" s="1"/>
    </row>
    <row r="419" spans="21:21" ht="20.100000000000001" customHeight="1" x14ac:dyDescent="0.25">
      <c r="U419" s="1"/>
    </row>
    <row r="420" spans="21:21" ht="20.100000000000001" customHeight="1" x14ac:dyDescent="0.25">
      <c r="U420" s="1"/>
    </row>
    <row r="421" spans="21:21" ht="20.100000000000001" customHeight="1" x14ac:dyDescent="0.25">
      <c r="U421" s="1"/>
    </row>
    <row r="422" spans="21:21" ht="20.100000000000001" customHeight="1" x14ac:dyDescent="0.25">
      <c r="U422" s="1"/>
    </row>
    <row r="423" spans="21:21" ht="20.100000000000001" customHeight="1" x14ac:dyDescent="0.25">
      <c r="U423" s="1"/>
    </row>
    <row r="424" spans="21:21" ht="20.100000000000001" customHeight="1" x14ac:dyDescent="0.25">
      <c r="U424" s="1"/>
    </row>
    <row r="425" spans="21:21" ht="20.100000000000001" customHeight="1" x14ac:dyDescent="0.25">
      <c r="U425" s="1"/>
    </row>
    <row r="426" spans="21:21" ht="20.100000000000001" customHeight="1" x14ac:dyDescent="0.25">
      <c r="U426" s="1"/>
    </row>
    <row r="427" spans="21:21" ht="20.100000000000001" customHeight="1" x14ac:dyDescent="0.25">
      <c r="U427" s="1"/>
    </row>
    <row r="428" spans="21:21" ht="20.100000000000001" customHeight="1" x14ac:dyDescent="0.25">
      <c r="U428" s="1"/>
    </row>
    <row r="429" spans="21:21" ht="20.100000000000001" customHeight="1" x14ac:dyDescent="0.25">
      <c r="U429" s="1"/>
    </row>
    <row r="430" spans="21:21" ht="20.100000000000001" customHeight="1" x14ac:dyDescent="0.25">
      <c r="U430" s="1"/>
    </row>
    <row r="431" spans="21:21" ht="20.100000000000001" customHeight="1" x14ac:dyDescent="0.25">
      <c r="U431" s="1"/>
    </row>
    <row r="432" spans="21:21" ht="20.100000000000001" customHeight="1" x14ac:dyDescent="0.25">
      <c r="U432" s="1"/>
    </row>
    <row r="433" spans="21:21" ht="20.100000000000001" customHeight="1" x14ac:dyDescent="0.25">
      <c r="U433" s="1"/>
    </row>
    <row r="434" spans="21:21" ht="20.100000000000001" customHeight="1" x14ac:dyDescent="0.25">
      <c r="U434" s="1"/>
    </row>
    <row r="435" spans="21:21" ht="20.100000000000001" customHeight="1" x14ac:dyDescent="0.25">
      <c r="U435" s="1"/>
    </row>
    <row r="436" spans="21:21" ht="20.100000000000001" customHeight="1" x14ac:dyDescent="0.25">
      <c r="U436" s="1"/>
    </row>
    <row r="437" spans="21:21" ht="20.100000000000001" customHeight="1" x14ac:dyDescent="0.25">
      <c r="U437" s="1"/>
    </row>
    <row r="438" spans="21:21" ht="20.100000000000001" customHeight="1" x14ac:dyDescent="0.25">
      <c r="U438" s="1"/>
    </row>
    <row r="439" spans="21:21" ht="20.100000000000001" customHeight="1" x14ac:dyDescent="0.25">
      <c r="U439" s="1"/>
    </row>
    <row r="440" spans="21:21" ht="20.100000000000001" customHeight="1" x14ac:dyDescent="0.25">
      <c r="U440" s="1"/>
    </row>
    <row r="441" spans="21:21" ht="20.100000000000001" customHeight="1" x14ac:dyDescent="0.25">
      <c r="U441" s="1"/>
    </row>
    <row r="442" spans="21:21" ht="20.100000000000001" customHeight="1" x14ac:dyDescent="0.25">
      <c r="U442" s="1"/>
    </row>
    <row r="443" spans="21:21" ht="20.100000000000001" customHeight="1" x14ac:dyDescent="0.25">
      <c r="U443" s="1"/>
    </row>
    <row r="444" spans="21:21" ht="20.100000000000001" customHeight="1" x14ac:dyDescent="0.25">
      <c r="U444" s="1"/>
    </row>
    <row r="445" spans="21:21" ht="20.100000000000001" customHeight="1" x14ac:dyDescent="0.25">
      <c r="U445" s="1"/>
    </row>
    <row r="446" spans="21:21" ht="20.100000000000001" customHeight="1" x14ac:dyDescent="0.25">
      <c r="U446" s="1"/>
    </row>
    <row r="447" spans="21:21" ht="20.100000000000001" customHeight="1" x14ac:dyDescent="0.25">
      <c r="U447" s="1"/>
    </row>
    <row r="448" spans="21:21" ht="20.100000000000001" customHeight="1" x14ac:dyDescent="0.25">
      <c r="U448" s="1"/>
    </row>
    <row r="449" spans="21:21" ht="20.100000000000001" customHeight="1" x14ac:dyDescent="0.25">
      <c r="U449" s="1"/>
    </row>
    <row r="450" spans="21:21" ht="20.100000000000001" customHeight="1" x14ac:dyDescent="0.25">
      <c r="U450" s="1"/>
    </row>
    <row r="451" spans="21:21" ht="20.100000000000001" customHeight="1" x14ac:dyDescent="0.25">
      <c r="U451" s="1"/>
    </row>
    <row r="452" spans="21:21" ht="20.100000000000001" customHeight="1" x14ac:dyDescent="0.25">
      <c r="U452" s="1"/>
    </row>
    <row r="453" spans="21:21" ht="20.100000000000001" customHeight="1" x14ac:dyDescent="0.25">
      <c r="U453" s="1"/>
    </row>
    <row r="454" spans="21:21" ht="20.100000000000001" customHeight="1" x14ac:dyDescent="0.25">
      <c r="U454" s="1"/>
    </row>
    <row r="455" spans="21:21" ht="20.100000000000001" customHeight="1" x14ac:dyDescent="0.25">
      <c r="U455" s="1"/>
    </row>
    <row r="456" spans="21:21" ht="20.100000000000001" customHeight="1" x14ac:dyDescent="0.25">
      <c r="U456" s="1"/>
    </row>
    <row r="457" spans="21:21" ht="20.100000000000001" customHeight="1" x14ac:dyDescent="0.25">
      <c r="U457" s="1"/>
    </row>
    <row r="458" spans="21:21" ht="20.100000000000001" customHeight="1" x14ac:dyDescent="0.25">
      <c r="U458" s="1"/>
    </row>
    <row r="459" spans="21:21" ht="20.100000000000001" customHeight="1" x14ac:dyDescent="0.25">
      <c r="U459" s="1"/>
    </row>
    <row r="460" spans="21:21" ht="20.100000000000001" customHeight="1" x14ac:dyDescent="0.25">
      <c r="U460" s="1"/>
    </row>
    <row r="461" spans="21:21" ht="20.100000000000001" customHeight="1" x14ac:dyDescent="0.25">
      <c r="U461" s="1"/>
    </row>
    <row r="462" spans="21:21" ht="20.100000000000001" customHeight="1" x14ac:dyDescent="0.25">
      <c r="U462" s="1"/>
    </row>
    <row r="463" spans="21:21" ht="20.100000000000001" customHeight="1" x14ac:dyDescent="0.25">
      <c r="U463" s="1"/>
    </row>
    <row r="464" spans="21:21" ht="20.100000000000001" customHeight="1" x14ac:dyDescent="0.25">
      <c r="U464" s="1"/>
    </row>
    <row r="465" spans="21:21" ht="20.100000000000001" customHeight="1" x14ac:dyDescent="0.25">
      <c r="U465" s="1"/>
    </row>
    <row r="466" spans="21:21" ht="20.100000000000001" customHeight="1" x14ac:dyDescent="0.25">
      <c r="U466" s="1"/>
    </row>
    <row r="467" spans="21:21" ht="20.100000000000001" customHeight="1" x14ac:dyDescent="0.25">
      <c r="U467" s="1"/>
    </row>
    <row r="468" spans="21:21" ht="20.100000000000001" customHeight="1" x14ac:dyDescent="0.25">
      <c r="U468" s="1"/>
    </row>
    <row r="469" spans="21:21" ht="20.100000000000001" customHeight="1" x14ac:dyDescent="0.25">
      <c r="U469" s="1"/>
    </row>
    <row r="470" spans="21:21" ht="20.100000000000001" customHeight="1" x14ac:dyDescent="0.25">
      <c r="U470" s="1"/>
    </row>
    <row r="471" spans="21:21" ht="20.100000000000001" customHeight="1" x14ac:dyDescent="0.25">
      <c r="U471" s="1"/>
    </row>
    <row r="472" spans="21:21" ht="20.100000000000001" customHeight="1" x14ac:dyDescent="0.25">
      <c r="U472" s="1"/>
    </row>
    <row r="473" spans="21:21" ht="20.100000000000001" customHeight="1" x14ac:dyDescent="0.25">
      <c r="U473" s="1"/>
    </row>
    <row r="474" spans="21:21" ht="20.100000000000001" customHeight="1" x14ac:dyDescent="0.25">
      <c r="U474" s="1"/>
    </row>
    <row r="475" spans="21:21" ht="20.100000000000001" customHeight="1" x14ac:dyDescent="0.25">
      <c r="U475" s="1"/>
    </row>
    <row r="476" spans="21:21" ht="20.100000000000001" customHeight="1" x14ac:dyDescent="0.25">
      <c r="U476" s="1"/>
    </row>
    <row r="477" spans="21:21" ht="20.100000000000001" customHeight="1" x14ac:dyDescent="0.25">
      <c r="U477" s="1"/>
    </row>
    <row r="478" spans="21:21" ht="20.100000000000001" customHeight="1" x14ac:dyDescent="0.25">
      <c r="U478" s="1"/>
    </row>
    <row r="479" spans="21:21" ht="20.100000000000001" customHeight="1" x14ac:dyDescent="0.25">
      <c r="U479" s="1"/>
    </row>
    <row r="480" spans="21:21" ht="20.100000000000001" customHeight="1" x14ac:dyDescent="0.25">
      <c r="U480" s="1"/>
    </row>
    <row r="481" spans="21:21" ht="20.100000000000001" customHeight="1" x14ac:dyDescent="0.25">
      <c r="U481" s="1"/>
    </row>
    <row r="482" spans="21:21" ht="20.100000000000001" customHeight="1" x14ac:dyDescent="0.25">
      <c r="U482" s="1"/>
    </row>
    <row r="483" spans="21:21" ht="20.100000000000001" customHeight="1" x14ac:dyDescent="0.25">
      <c r="U483" s="1"/>
    </row>
    <row r="484" spans="21:21" ht="20.100000000000001" customHeight="1" x14ac:dyDescent="0.25">
      <c r="U484" s="1"/>
    </row>
    <row r="485" spans="21:21" ht="20.100000000000001" customHeight="1" x14ac:dyDescent="0.25">
      <c r="U485" s="1"/>
    </row>
    <row r="486" spans="21:21" ht="20.100000000000001" customHeight="1" x14ac:dyDescent="0.25">
      <c r="U486" s="1"/>
    </row>
    <row r="487" spans="21:21" ht="20.100000000000001" customHeight="1" x14ac:dyDescent="0.25">
      <c r="U487" s="1"/>
    </row>
    <row r="488" spans="21:21" ht="20.100000000000001" customHeight="1" x14ac:dyDescent="0.25">
      <c r="U488" s="1"/>
    </row>
    <row r="489" spans="21:21" ht="20.100000000000001" customHeight="1" x14ac:dyDescent="0.25">
      <c r="U489" s="1"/>
    </row>
    <row r="490" spans="21:21" ht="20.100000000000001" customHeight="1" x14ac:dyDescent="0.25">
      <c r="U490" s="1"/>
    </row>
    <row r="491" spans="21:21" ht="20.100000000000001" customHeight="1" x14ac:dyDescent="0.25">
      <c r="U491" s="1"/>
    </row>
    <row r="492" spans="21:21" ht="20.100000000000001" customHeight="1" x14ac:dyDescent="0.25">
      <c r="U492" s="1"/>
    </row>
    <row r="493" spans="21:21" ht="20.100000000000001" customHeight="1" x14ac:dyDescent="0.25">
      <c r="U493" s="1"/>
    </row>
    <row r="494" spans="21:21" ht="20.100000000000001" customHeight="1" x14ac:dyDescent="0.25">
      <c r="U494" s="1"/>
    </row>
    <row r="495" spans="21:21" ht="20.100000000000001" customHeight="1" x14ac:dyDescent="0.25">
      <c r="U495" s="1"/>
    </row>
    <row r="496" spans="21:21" ht="20.100000000000001" customHeight="1" x14ac:dyDescent="0.25">
      <c r="U496" s="1"/>
    </row>
    <row r="497" spans="21:21" ht="20.100000000000001" customHeight="1" x14ac:dyDescent="0.25">
      <c r="U497" s="1"/>
    </row>
    <row r="498" spans="21:21" ht="20.100000000000001" customHeight="1" x14ac:dyDescent="0.25">
      <c r="U498" s="1"/>
    </row>
    <row r="499" spans="21:21" ht="20.100000000000001" customHeight="1" x14ac:dyDescent="0.25">
      <c r="U499" s="1"/>
    </row>
    <row r="500" spans="21:21" ht="20.100000000000001" customHeight="1" x14ac:dyDescent="0.25">
      <c r="U500" s="1"/>
    </row>
    <row r="501" spans="21:21" ht="20.100000000000001" customHeight="1" x14ac:dyDescent="0.25">
      <c r="U501" s="1"/>
    </row>
    <row r="502" spans="21:21" ht="20.100000000000001" customHeight="1" x14ac:dyDescent="0.25">
      <c r="U502" s="1"/>
    </row>
    <row r="503" spans="21:21" ht="20.100000000000001" customHeight="1" x14ac:dyDescent="0.25">
      <c r="U503" s="1"/>
    </row>
    <row r="504" spans="21:21" ht="20.100000000000001" customHeight="1" x14ac:dyDescent="0.25">
      <c r="U504" s="1"/>
    </row>
    <row r="505" spans="21:21" ht="20.100000000000001" customHeight="1" x14ac:dyDescent="0.25">
      <c r="U505" s="1"/>
    </row>
    <row r="506" spans="21:21" ht="20.100000000000001" customHeight="1" x14ac:dyDescent="0.25">
      <c r="U506" s="1"/>
    </row>
    <row r="507" spans="21:21" ht="20.100000000000001" customHeight="1" x14ac:dyDescent="0.25">
      <c r="U507" s="1"/>
    </row>
    <row r="508" spans="21:21" ht="20.100000000000001" customHeight="1" x14ac:dyDescent="0.25">
      <c r="U508" s="1"/>
    </row>
    <row r="509" spans="21:21" ht="20.100000000000001" customHeight="1" x14ac:dyDescent="0.25">
      <c r="U509" s="1"/>
    </row>
    <row r="510" spans="21:21" ht="20.100000000000001" customHeight="1" x14ac:dyDescent="0.25">
      <c r="U510" s="1"/>
    </row>
    <row r="511" spans="21:21" ht="20.100000000000001" customHeight="1" x14ac:dyDescent="0.25">
      <c r="U511" s="1"/>
    </row>
    <row r="512" spans="21:21" ht="20.100000000000001" customHeight="1" x14ac:dyDescent="0.25">
      <c r="U512" s="1"/>
    </row>
    <row r="513" spans="21:21" ht="20.100000000000001" customHeight="1" x14ac:dyDescent="0.25">
      <c r="U513" s="1"/>
    </row>
    <row r="514" spans="21:21" ht="20.100000000000001" customHeight="1" x14ac:dyDescent="0.25">
      <c r="U514" s="1"/>
    </row>
    <row r="515" spans="21:21" ht="20.100000000000001" customHeight="1" x14ac:dyDescent="0.25">
      <c r="U515" s="1"/>
    </row>
    <row r="516" spans="21:21" ht="20.100000000000001" customHeight="1" x14ac:dyDescent="0.25">
      <c r="U516" s="1"/>
    </row>
    <row r="517" spans="21:21" ht="20.100000000000001" customHeight="1" x14ac:dyDescent="0.25">
      <c r="U517" s="1"/>
    </row>
    <row r="518" spans="21:21" ht="20.100000000000001" customHeight="1" x14ac:dyDescent="0.25">
      <c r="U518" s="1"/>
    </row>
    <row r="519" spans="21:21" ht="20.100000000000001" customHeight="1" x14ac:dyDescent="0.25">
      <c r="U519" s="1"/>
    </row>
    <row r="520" spans="21:21" ht="20.100000000000001" customHeight="1" x14ac:dyDescent="0.25">
      <c r="U520" s="1"/>
    </row>
    <row r="521" spans="21:21" ht="20.100000000000001" customHeight="1" x14ac:dyDescent="0.25">
      <c r="U521" s="1"/>
    </row>
    <row r="522" spans="21:21" ht="20.100000000000001" customHeight="1" x14ac:dyDescent="0.25">
      <c r="U522" s="1"/>
    </row>
    <row r="523" spans="21:21" ht="20.100000000000001" customHeight="1" x14ac:dyDescent="0.25">
      <c r="U523" s="1"/>
    </row>
    <row r="524" spans="21:21" ht="20.100000000000001" customHeight="1" x14ac:dyDescent="0.25">
      <c r="U524" s="1"/>
    </row>
    <row r="525" spans="21:21" ht="20.100000000000001" customHeight="1" x14ac:dyDescent="0.25">
      <c r="U525" s="1"/>
    </row>
    <row r="526" spans="21:21" ht="20.100000000000001" customHeight="1" x14ac:dyDescent="0.25">
      <c r="U526" s="1"/>
    </row>
    <row r="527" spans="21:21" ht="20.100000000000001" customHeight="1" x14ac:dyDescent="0.25">
      <c r="U527" s="1"/>
    </row>
    <row r="528" spans="21:21" ht="20.100000000000001" customHeight="1" x14ac:dyDescent="0.25">
      <c r="U528" s="1"/>
    </row>
    <row r="529" spans="21:21" ht="20.100000000000001" customHeight="1" x14ac:dyDescent="0.25">
      <c r="U529" s="1"/>
    </row>
    <row r="530" spans="21:21" ht="20.100000000000001" customHeight="1" x14ac:dyDescent="0.25">
      <c r="U530" s="1"/>
    </row>
    <row r="531" spans="21:21" ht="20.100000000000001" customHeight="1" x14ac:dyDescent="0.25">
      <c r="U531" s="1"/>
    </row>
    <row r="532" spans="21:21" ht="20.100000000000001" customHeight="1" x14ac:dyDescent="0.25">
      <c r="U532" s="1"/>
    </row>
    <row r="533" spans="21:21" ht="20.100000000000001" customHeight="1" x14ac:dyDescent="0.25">
      <c r="U533" s="1"/>
    </row>
    <row r="534" spans="21:21" ht="20.100000000000001" customHeight="1" x14ac:dyDescent="0.25">
      <c r="U534" s="1"/>
    </row>
    <row r="535" spans="21:21" ht="20.100000000000001" customHeight="1" x14ac:dyDescent="0.25">
      <c r="U535" s="1"/>
    </row>
    <row r="536" spans="21:21" ht="20.100000000000001" customHeight="1" x14ac:dyDescent="0.25">
      <c r="U536" s="1"/>
    </row>
    <row r="537" spans="21:21" ht="20.100000000000001" customHeight="1" x14ac:dyDescent="0.25">
      <c r="U537" s="1"/>
    </row>
    <row r="538" spans="21:21" ht="20.100000000000001" customHeight="1" x14ac:dyDescent="0.25">
      <c r="U538" s="1"/>
    </row>
    <row r="539" spans="21:21" ht="20.100000000000001" customHeight="1" x14ac:dyDescent="0.25">
      <c r="U539" s="1"/>
    </row>
    <row r="540" spans="21:21" ht="20.100000000000001" customHeight="1" x14ac:dyDescent="0.25">
      <c r="U540" s="1"/>
    </row>
    <row r="541" spans="21:21" ht="20.100000000000001" customHeight="1" x14ac:dyDescent="0.25">
      <c r="U541" s="1"/>
    </row>
    <row r="542" spans="21:21" ht="20.100000000000001" customHeight="1" x14ac:dyDescent="0.25">
      <c r="U542" s="1"/>
    </row>
    <row r="543" spans="21:21" ht="20.100000000000001" customHeight="1" x14ac:dyDescent="0.25">
      <c r="U543" s="1"/>
    </row>
    <row r="544" spans="21:21" ht="20.100000000000001" customHeight="1" x14ac:dyDescent="0.25">
      <c r="U544" s="1"/>
    </row>
    <row r="545" spans="21:21" ht="20.100000000000001" customHeight="1" x14ac:dyDescent="0.25">
      <c r="U545" s="1"/>
    </row>
    <row r="546" spans="21:21" ht="20.100000000000001" customHeight="1" x14ac:dyDescent="0.25">
      <c r="U546" s="1"/>
    </row>
    <row r="547" spans="21:21" ht="20.100000000000001" customHeight="1" x14ac:dyDescent="0.25">
      <c r="U547" s="1"/>
    </row>
    <row r="548" spans="21:21" ht="20.100000000000001" customHeight="1" x14ac:dyDescent="0.25">
      <c r="U548" s="1"/>
    </row>
    <row r="549" spans="21:21" ht="20.100000000000001" customHeight="1" x14ac:dyDescent="0.25">
      <c r="U549" s="1"/>
    </row>
    <row r="550" spans="21:21" ht="20.100000000000001" customHeight="1" x14ac:dyDescent="0.25">
      <c r="U550" s="1"/>
    </row>
    <row r="551" spans="21:21" ht="20.100000000000001" customHeight="1" x14ac:dyDescent="0.25">
      <c r="U551" s="1"/>
    </row>
    <row r="552" spans="21:21" ht="20.100000000000001" customHeight="1" x14ac:dyDescent="0.25">
      <c r="U552" s="1"/>
    </row>
    <row r="553" spans="21:21" ht="20.100000000000001" customHeight="1" x14ac:dyDescent="0.25">
      <c r="U553" s="1"/>
    </row>
    <row r="554" spans="21:21" ht="20.100000000000001" customHeight="1" x14ac:dyDescent="0.25">
      <c r="U554" s="1"/>
    </row>
    <row r="555" spans="21:21" ht="20.100000000000001" customHeight="1" x14ac:dyDescent="0.25">
      <c r="U555" s="1"/>
    </row>
    <row r="556" spans="21:21" ht="20.100000000000001" customHeight="1" x14ac:dyDescent="0.25">
      <c r="U556" s="1"/>
    </row>
    <row r="557" spans="21:21" ht="20.100000000000001" customHeight="1" x14ac:dyDescent="0.25">
      <c r="U557" s="1"/>
    </row>
    <row r="558" spans="21:21" ht="20.100000000000001" customHeight="1" x14ac:dyDescent="0.25">
      <c r="U558" s="1"/>
    </row>
    <row r="559" spans="21:21" ht="20.100000000000001" customHeight="1" x14ac:dyDescent="0.25">
      <c r="U559" s="1"/>
    </row>
    <row r="560" spans="21:21" ht="20.100000000000001" customHeight="1" x14ac:dyDescent="0.25">
      <c r="U560" s="1"/>
    </row>
    <row r="561" spans="21:21" ht="20.100000000000001" customHeight="1" x14ac:dyDescent="0.25">
      <c r="U561" s="1"/>
    </row>
    <row r="562" spans="21:21" ht="20.100000000000001" customHeight="1" x14ac:dyDescent="0.25">
      <c r="U562" s="1"/>
    </row>
    <row r="563" spans="21:21" ht="20.100000000000001" customHeight="1" x14ac:dyDescent="0.25">
      <c r="U563" s="1"/>
    </row>
    <row r="564" spans="21:21" ht="20.100000000000001" customHeight="1" x14ac:dyDescent="0.25">
      <c r="U564" s="1"/>
    </row>
    <row r="565" spans="21:21" ht="20.100000000000001" customHeight="1" x14ac:dyDescent="0.25">
      <c r="U565" s="1"/>
    </row>
    <row r="566" spans="21:21" ht="20.100000000000001" customHeight="1" x14ac:dyDescent="0.25">
      <c r="U566" s="1"/>
    </row>
    <row r="567" spans="21:21" ht="20.100000000000001" customHeight="1" x14ac:dyDescent="0.25">
      <c r="U567" s="1"/>
    </row>
    <row r="568" spans="21:21" ht="20.100000000000001" customHeight="1" x14ac:dyDescent="0.25">
      <c r="U568" s="1"/>
    </row>
    <row r="569" spans="21:21" ht="20.100000000000001" customHeight="1" x14ac:dyDescent="0.25">
      <c r="U569" s="1"/>
    </row>
    <row r="570" spans="21:21" ht="20.100000000000001" customHeight="1" x14ac:dyDescent="0.25">
      <c r="U570" s="1"/>
    </row>
    <row r="571" spans="21:21" ht="20.100000000000001" customHeight="1" x14ac:dyDescent="0.25">
      <c r="U571" s="1"/>
    </row>
    <row r="572" spans="21:21" ht="20.100000000000001" customHeight="1" x14ac:dyDescent="0.25">
      <c r="U572" s="1"/>
    </row>
    <row r="573" spans="21:21" ht="20.100000000000001" customHeight="1" x14ac:dyDescent="0.25">
      <c r="U573" s="1"/>
    </row>
    <row r="574" spans="21:21" ht="20.100000000000001" customHeight="1" x14ac:dyDescent="0.25">
      <c r="U574" s="1"/>
    </row>
    <row r="575" spans="21:21" ht="20.100000000000001" customHeight="1" x14ac:dyDescent="0.25">
      <c r="U575" s="1"/>
    </row>
    <row r="576" spans="21:21" ht="20.100000000000001" customHeight="1" x14ac:dyDescent="0.25">
      <c r="U576" s="1"/>
    </row>
    <row r="577" spans="21:21" ht="20.100000000000001" customHeight="1" x14ac:dyDescent="0.25">
      <c r="U577" s="1"/>
    </row>
    <row r="578" spans="21:21" ht="20.100000000000001" customHeight="1" x14ac:dyDescent="0.25">
      <c r="U578" s="1"/>
    </row>
    <row r="579" spans="21:21" ht="20.100000000000001" customHeight="1" x14ac:dyDescent="0.25">
      <c r="U579" s="1"/>
    </row>
    <row r="580" spans="21:21" ht="20.100000000000001" customHeight="1" x14ac:dyDescent="0.25">
      <c r="U580" s="1"/>
    </row>
    <row r="581" spans="21:21" ht="20.100000000000001" customHeight="1" x14ac:dyDescent="0.25">
      <c r="U581" s="1"/>
    </row>
    <row r="582" spans="21:21" ht="20.100000000000001" customHeight="1" x14ac:dyDescent="0.25">
      <c r="U582" s="1"/>
    </row>
    <row r="583" spans="21:21" ht="20.100000000000001" customHeight="1" x14ac:dyDescent="0.25">
      <c r="U583" s="1"/>
    </row>
    <row r="584" spans="21:21" ht="20.100000000000001" customHeight="1" x14ac:dyDescent="0.25">
      <c r="U584" s="1"/>
    </row>
    <row r="585" spans="21:21" ht="20.100000000000001" customHeight="1" x14ac:dyDescent="0.25">
      <c r="U585" s="1"/>
    </row>
    <row r="586" spans="21:21" ht="20.100000000000001" customHeight="1" x14ac:dyDescent="0.25">
      <c r="U586" s="1"/>
    </row>
    <row r="587" spans="21:21" ht="20.100000000000001" customHeight="1" x14ac:dyDescent="0.25">
      <c r="U587" s="1"/>
    </row>
    <row r="588" spans="21:21" ht="20.100000000000001" customHeight="1" x14ac:dyDescent="0.25">
      <c r="U588" s="1"/>
    </row>
    <row r="589" spans="21:21" ht="20.100000000000001" customHeight="1" x14ac:dyDescent="0.25">
      <c r="U589" s="1"/>
    </row>
    <row r="590" spans="21:21" ht="20.100000000000001" customHeight="1" x14ac:dyDescent="0.25">
      <c r="U590" s="1"/>
    </row>
    <row r="591" spans="21:21" ht="20.100000000000001" customHeight="1" x14ac:dyDescent="0.25">
      <c r="U591" s="1"/>
    </row>
    <row r="592" spans="21:21" ht="20.100000000000001" customHeight="1" x14ac:dyDescent="0.25">
      <c r="U592" s="1"/>
    </row>
    <row r="593" spans="21:21" ht="20.100000000000001" customHeight="1" x14ac:dyDescent="0.25">
      <c r="U593" s="1"/>
    </row>
    <row r="594" spans="21:21" ht="20.100000000000001" customHeight="1" x14ac:dyDescent="0.25">
      <c r="U594" s="1"/>
    </row>
    <row r="595" spans="21:21" ht="20.100000000000001" customHeight="1" x14ac:dyDescent="0.25">
      <c r="U595" s="1"/>
    </row>
    <row r="596" spans="21:21" ht="20.100000000000001" customHeight="1" x14ac:dyDescent="0.25">
      <c r="U596" s="1"/>
    </row>
    <row r="597" spans="21:21" ht="20.100000000000001" customHeight="1" x14ac:dyDescent="0.25">
      <c r="U597" s="1"/>
    </row>
    <row r="598" spans="21:21" ht="20.100000000000001" customHeight="1" x14ac:dyDescent="0.25">
      <c r="U598" s="1"/>
    </row>
    <row r="599" spans="21:21" ht="20.100000000000001" customHeight="1" x14ac:dyDescent="0.25">
      <c r="U599" s="1"/>
    </row>
    <row r="600" spans="21:21" ht="20.100000000000001" customHeight="1" x14ac:dyDescent="0.25">
      <c r="U600" s="1"/>
    </row>
    <row r="601" spans="21:21" ht="20.100000000000001" customHeight="1" x14ac:dyDescent="0.25">
      <c r="U601" s="1"/>
    </row>
    <row r="602" spans="21:21" ht="20.100000000000001" customHeight="1" x14ac:dyDescent="0.25">
      <c r="U602" s="1"/>
    </row>
    <row r="603" spans="21:21" ht="20.100000000000001" customHeight="1" x14ac:dyDescent="0.25">
      <c r="U603" s="1"/>
    </row>
    <row r="604" spans="21:21" ht="20.100000000000001" customHeight="1" x14ac:dyDescent="0.25">
      <c r="U604" s="1"/>
    </row>
    <row r="605" spans="21:21" ht="20.100000000000001" customHeight="1" x14ac:dyDescent="0.25">
      <c r="U605" s="1"/>
    </row>
    <row r="606" spans="21:21" ht="20.100000000000001" customHeight="1" x14ac:dyDescent="0.25">
      <c r="U606" s="1"/>
    </row>
    <row r="607" spans="21:21" ht="20.100000000000001" customHeight="1" x14ac:dyDescent="0.25">
      <c r="U607" s="1"/>
    </row>
    <row r="608" spans="21:21" ht="20.100000000000001" customHeight="1" x14ac:dyDescent="0.25">
      <c r="U608" s="1"/>
    </row>
    <row r="609" spans="21:21" ht="20.100000000000001" customHeight="1" x14ac:dyDescent="0.25">
      <c r="U609" s="1"/>
    </row>
    <row r="610" spans="21:21" ht="20.100000000000001" customHeight="1" x14ac:dyDescent="0.25">
      <c r="U610" s="1"/>
    </row>
    <row r="611" spans="21:21" ht="20.100000000000001" customHeight="1" x14ac:dyDescent="0.25">
      <c r="U611" s="1"/>
    </row>
    <row r="612" spans="21:21" ht="20.100000000000001" customHeight="1" x14ac:dyDescent="0.25">
      <c r="U612" s="1"/>
    </row>
    <row r="613" spans="21:21" ht="20.100000000000001" customHeight="1" x14ac:dyDescent="0.25">
      <c r="U613" s="1"/>
    </row>
    <row r="614" spans="21:21" ht="20.100000000000001" customHeight="1" x14ac:dyDescent="0.25">
      <c r="U614" s="1"/>
    </row>
    <row r="615" spans="21:21" ht="20.100000000000001" customHeight="1" x14ac:dyDescent="0.25">
      <c r="U615" s="1"/>
    </row>
    <row r="616" spans="21:21" ht="20.100000000000001" customHeight="1" x14ac:dyDescent="0.25">
      <c r="U616" s="1"/>
    </row>
    <row r="617" spans="21:21" ht="20.100000000000001" customHeight="1" x14ac:dyDescent="0.25">
      <c r="U617" s="1"/>
    </row>
    <row r="618" spans="21:21" ht="20.100000000000001" customHeight="1" x14ac:dyDescent="0.25">
      <c r="U618" s="1"/>
    </row>
    <row r="619" spans="21:21" ht="20.100000000000001" customHeight="1" x14ac:dyDescent="0.25">
      <c r="U619" s="1"/>
    </row>
    <row r="620" spans="21:21" ht="20.100000000000001" customHeight="1" x14ac:dyDescent="0.25">
      <c r="U620" s="1"/>
    </row>
    <row r="621" spans="21:21" ht="20.100000000000001" customHeight="1" x14ac:dyDescent="0.25">
      <c r="U621" s="1"/>
    </row>
    <row r="622" spans="21:21" ht="20.100000000000001" customHeight="1" x14ac:dyDescent="0.25">
      <c r="U622" s="1"/>
    </row>
    <row r="623" spans="21:21" ht="20.100000000000001" customHeight="1" x14ac:dyDescent="0.25">
      <c r="U623" s="1"/>
    </row>
    <row r="624" spans="21:21" ht="20.100000000000001" customHeight="1" x14ac:dyDescent="0.25">
      <c r="U624" s="1"/>
    </row>
    <row r="625" spans="21:21" ht="20.100000000000001" customHeight="1" x14ac:dyDescent="0.25">
      <c r="U625" s="1"/>
    </row>
    <row r="626" spans="21:21" ht="20.100000000000001" customHeight="1" x14ac:dyDescent="0.25">
      <c r="U626" s="1"/>
    </row>
    <row r="627" spans="21:21" ht="20.100000000000001" customHeight="1" x14ac:dyDescent="0.25">
      <c r="U627" s="1"/>
    </row>
    <row r="628" spans="21:21" ht="20.100000000000001" customHeight="1" x14ac:dyDescent="0.25">
      <c r="U628" s="1"/>
    </row>
    <row r="629" spans="21:21" ht="20.100000000000001" customHeight="1" x14ac:dyDescent="0.25">
      <c r="U629" s="1"/>
    </row>
    <row r="630" spans="21:21" ht="20.100000000000001" customHeight="1" x14ac:dyDescent="0.25">
      <c r="U630" s="1"/>
    </row>
    <row r="631" spans="21:21" ht="20.100000000000001" customHeight="1" x14ac:dyDescent="0.25">
      <c r="U631" s="1"/>
    </row>
    <row r="632" spans="21:21" ht="20.100000000000001" customHeight="1" x14ac:dyDescent="0.25">
      <c r="U632" s="1"/>
    </row>
    <row r="633" spans="21:21" ht="20.100000000000001" customHeight="1" x14ac:dyDescent="0.25">
      <c r="U633" s="1"/>
    </row>
    <row r="634" spans="21:21" ht="20.100000000000001" customHeight="1" x14ac:dyDescent="0.25">
      <c r="U634" s="1"/>
    </row>
    <row r="635" spans="21:21" ht="20.100000000000001" customHeight="1" x14ac:dyDescent="0.25">
      <c r="U635" s="1"/>
    </row>
    <row r="636" spans="21:21" ht="20.100000000000001" customHeight="1" x14ac:dyDescent="0.25">
      <c r="U636" s="1"/>
    </row>
    <row r="637" spans="21:21" ht="20.100000000000001" customHeight="1" x14ac:dyDescent="0.25">
      <c r="U637" s="1"/>
    </row>
    <row r="638" spans="21:21" ht="20.100000000000001" customHeight="1" x14ac:dyDescent="0.25">
      <c r="U638" s="1"/>
    </row>
    <row r="639" spans="21:21" ht="20.100000000000001" customHeight="1" x14ac:dyDescent="0.25">
      <c r="U639" s="1"/>
    </row>
    <row r="640" spans="21:21" ht="20.100000000000001" customHeight="1" x14ac:dyDescent="0.25">
      <c r="U640" s="1"/>
    </row>
    <row r="641" spans="21:21" ht="20.100000000000001" customHeight="1" x14ac:dyDescent="0.25">
      <c r="U641" s="1"/>
    </row>
    <row r="642" spans="21:21" ht="20.100000000000001" customHeight="1" x14ac:dyDescent="0.25">
      <c r="U642" s="1"/>
    </row>
    <row r="643" spans="21:21" ht="20.100000000000001" customHeight="1" x14ac:dyDescent="0.25">
      <c r="U643" s="1"/>
    </row>
    <row r="644" spans="21:21" ht="20.100000000000001" customHeight="1" x14ac:dyDescent="0.25">
      <c r="U644" s="1"/>
    </row>
    <row r="645" spans="21:21" ht="20.100000000000001" customHeight="1" x14ac:dyDescent="0.25">
      <c r="U645" s="1"/>
    </row>
    <row r="646" spans="21:21" ht="20.100000000000001" customHeight="1" x14ac:dyDescent="0.25">
      <c r="U646" s="1"/>
    </row>
    <row r="647" spans="21:21" ht="20.100000000000001" customHeight="1" x14ac:dyDescent="0.25">
      <c r="U647" s="1"/>
    </row>
    <row r="648" spans="21:21" ht="20.100000000000001" customHeight="1" x14ac:dyDescent="0.25">
      <c r="U648" s="1"/>
    </row>
    <row r="649" spans="21:21" ht="20.100000000000001" customHeight="1" x14ac:dyDescent="0.25">
      <c r="U649" s="1"/>
    </row>
    <row r="650" spans="21:21" ht="20.100000000000001" customHeight="1" x14ac:dyDescent="0.25">
      <c r="U650" s="1"/>
    </row>
    <row r="651" spans="21:21" ht="20.100000000000001" customHeight="1" x14ac:dyDescent="0.25">
      <c r="U651" s="1"/>
    </row>
    <row r="652" spans="21:21" ht="20.100000000000001" customHeight="1" x14ac:dyDescent="0.25">
      <c r="U652" s="1"/>
    </row>
    <row r="653" spans="21:21" ht="20.100000000000001" customHeight="1" x14ac:dyDescent="0.25">
      <c r="U653" s="1"/>
    </row>
    <row r="654" spans="21:21" ht="20.100000000000001" customHeight="1" x14ac:dyDescent="0.25">
      <c r="U654" s="1"/>
    </row>
    <row r="655" spans="21:21" ht="20.100000000000001" customHeight="1" x14ac:dyDescent="0.25">
      <c r="U655" s="1"/>
    </row>
    <row r="656" spans="21:21" ht="20.100000000000001" customHeight="1" x14ac:dyDescent="0.25">
      <c r="U656" s="1"/>
    </row>
    <row r="657" spans="21:21" ht="20.100000000000001" customHeight="1" x14ac:dyDescent="0.25">
      <c r="U657" s="1"/>
    </row>
    <row r="658" spans="21:21" ht="20.100000000000001" customHeight="1" x14ac:dyDescent="0.25">
      <c r="U658" s="1"/>
    </row>
    <row r="659" spans="21:21" ht="20.100000000000001" customHeight="1" x14ac:dyDescent="0.25">
      <c r="U659" s="1"/>
    </row>
    <row r="660" spans="21:21" ht="20.100000000000001" customHeight="1" x14ac:dyDescent="0.25">
      <c r="U660" s="1"/>
    </row>
    <row r="661" spans="21:21" ht="20.100000000000001" customHeight="1" x14ac:dyDescent="0.25">
      <c r="U661" s="1"/>
    </row>
    <row r="662" spans="21:21" ht="20.100000000000001" customHeight="1" x14ac:dyDescent="0.25">
      <c r="U662" s="1"/>
    </row>
    <row r="663" spans="21:21" ht="20.100000000000001" customHeight="1" x14ac:dyDescent="0.25">
      <c r="U663" s="1"/>
    </row>
    <row r="664" spans="21:21" ht="20.100000000000001" customHeight="1" x14ac:dyDescent="0.25">
      <c r="U664" s="1"/>
    </row>
    <row r="665" spans="21:21" ht="20.100000000000001" customHeight="1" x14ac:dyDescent="0.25">
      <c r="U665" s="1"/>
    </row>
    <row r="666" spans="21:21" ht="20.100000000000001" customHeight="1" x14ac:dyDescent="0.25">
      <c r="U666" s="1"/>
    </row>
    <row r="667" spans="21:21" ht="20.100000000000001" customHeight="1" x14ac:dyDescent="0.25">
      <c r="U667" s="1"/>
    </row>
    <row r="668" spans="21:21" ht="20.100000000000001" customHeight="1" x14ac:dyDescent="0.25">
      <c r="U668" s="1"/>
    </row>
    <row r="669" spans="21:21" ht="20.100000000000001" customHeight="1" x14ac:dyDescent="0.25">
      <c r="U669" s="1"/>
    </row>
    <row r="670" spans="21:21" ht="20.100000000000001" customHeight="1" x14ac:dyDescent="0.25">
      <c r="U670" s="1"/>
    </row>
    <row r="671" spans="21:21" ht="20.100000000000001" customHeight="1" x14ac:dyDescent="0.25">
      <c r="U671" s="1"/>
    </row>
    <row r="672" spans="21:21" ht="20.100000000000001" customHeight="1" x14ac:dyDescent="0.25">
      <c r="U672" s="1"/>
    </row>
    <row r="673" spans="21:21" ht="20.100000000000001" customHeight="1" x14ac:dyDescent="0.25">
      <c r="U673" s="1"/>
    </row>
    <row r="674" spans="21:21" ht="20.100000000000001" customHeight="1" x14ac:dyDescent="0.25">
      <c r="U674" s="1"/>
    </row>
    <row r="675" spans="21:21" ht="20.100000000000001" customHeight="1" x14ac:dyDescent="0.25">
      <c r="U675" s="1"/>
    </row>
    <row r="676" spans="21:21" ht="20.100000000000001" customHeight="1" x14ac:dyDescent="0.25">
      <c r="U676" s="1"/>
    </row>
    <row r="677" spans="21:21" ht="20.100000000000001" customHeight="1" x14ac:dyDescent="0.25">
      <c r="U677" s="1"/>
    </row>
    <row r="678" spans="21:21" ht="20.100000000000001" customHeight="1" x14ac:dyDescent="0.25">
      <c r="U678" s="1"/>
    </row>
    <row r="679" spans="21:21" ht="20.100000000000001" customHeight="1" x14ac:dyDescent="0.25">
      <c r="U679" s="1"/>
    </row>
    <row r="680" spans="21:21" ht="20.100000000000001" customHeight="1" x14ac:dyDescent="0.25">
      <c r="U680" s="1"/>
    </row>
    <row r="681" spans="21:21" ht="20.100000000000001" customHeight="1" x14ac:dyDescent="0.25">
      <c r="U681" s="1"/>
    </row>
    <row r="682" spans="21:21" ht="20.100000000000001" customHeight="1" x14ac:dyDescent="0.25">
      <c r="U682" s="1"/>
    </row>
    <row r="683" spans="21:21" ht="20.100000000000001" customHeight="1" x14ac:dyDescent="0.25">
      <c r="U683" s="1"/>
    </row>
    <row r="684" spans="21:21" ht="20.100000000000001" customHeight="1" x14ac:dyDescent="0.25">
      <c r="U684" s="1"/>
    </row>
    <row r="685" spans="21:21" ht="20.100000000000001" customHeight="1" x14ac:dyDescent="0.25">
      <c r="U685" s="1"/>
    </row>
    <row r="686" spans="21:21" ht="20.100000000000001" customHeight="1" x14ac:dyDescent="0.25">
      <c r="U686" s="1"/>
    </row>
    <row r="687" spans="21:21" ht="20.100000000000001" customHeight="1" x14ac:dyDescent="0.25">
      <c r="U687" s="1"/>
    </row>
    <row r="688" spans="21:21" ht="20.100000000000001" customHeight="1" x14ac:dyDescent="0.25">
      <c r="U688" s="1"/>
    </row>
    <row r="689" spans="21:21" ht="20.100000000000001" customHeight="1" x14ac:dyDescent="0.25">
      <c r="U689" s="1"/>
    </row>
    <row r="690" spans="21:21" ht="20.100000000000001" customHeight="1" x14ac:dyDescent="0.25">
      <c r="U690" s="1"/>
    </row>
    <row r="691" spans="21:21" ht="20.100000000000001" customHeight="1" x14ac:dyDescent="0.25">
      <c r="U691" s="1"/>
    </row>
    <row r="692" spans="21:21" ht="20.100000000000001" customHeight="1" x14ac:dyDescent="0.25">
      <c r="U692" s="1"/>
    </row>
    <row r="693" spans="21:21" ht="20.100000000000001" customHeight="1" x14ac:dyDescent="0.25">
      <c r="U693" s="1"/>
    </row>
    <row r="694" spans="21:21" ht="20.100000000000001" customHeight="1" x14ac:dyDescent="0.25">
      <c r="U694" s="1"/>
    </row>
    <row r="695" spans="21:21" ht="20.100000000000001" customHeight="1" x14ac:dyDescent="0.25">
      <c r="U695" s="1"/>
    </row>
    <row r="696" spans="21:21" ht="20.100000000000001" customHeight="1" x14ac:dyDescent="0.25">
      <c r="U696" s="1"/>
    </row>
    <row r="697" spans="21:21" ht="20.100000000000001" customHeight="1" x14ac:dyDescent="0.25">
      <c r="U697" s="1"/>
    </row>
    <row r="698" spans="21:21" ht="20.100000000000001" customHeight="1" x14ac:dyDescent="0.25">
      <c r="U698" s="1"/>
    </row>
    <row r="699" spans="21:21" ht="20.100000000000001" customHeight="1" x14ac:dyDescent="0.25">
      <c r="U699" s="1"/>
    </row>
    <row r="700" spans="21:21" ht="20.100000000000001" customHeight="1" x14ac:dyDescent="0.25">
      <c r="U700" s="1"/>
    </row>
    <row r="701" spans="21:21" ht="20.100000000000001" customHeight="1" x14ac:dyDescent="0.25">
      <c r="U701" s="1"/>
    </row>
    <row r="702" spans="21:21" ht="20.100000000000001" customHeight="1" x14ac:dyDescent="0.25">
      <c r="U702" s="1"/>
    </row>
    <row r="703" spans="21:21" ht="20.100000000000001" customHeight="1" x14ac:dyDescent="0.25">
      <c r="U703" s="1"/>
    </row>
    <row r="704" spans="21:21" ht="20.100000000000001" customHeight="1" x14ac:dyDescent="0.25">
      <c r="U704" s="1"/>
    </row>
    <row r="705" spans="21:21" ht="20.100000000000001" customHeight="1" x14ac:dyDescent="0.25">
      <c r="U705" s="1"/>
    </row>
    <row r="706" spans="21:21" ht="20.100000000000001" customHeight="1" x14ac:dyDescent="0.25">
      <c r="U706" s="1"/>
    </row>
    <row r="707" spans="21:21" ht="20.100000000000001" customHeight="1" x14ac:dyDescent="0.25">
      <c r="U707" s="1"/>
    </row>
    <row r="708" spans="21:21" ht="20.100000000000001" customHeight="1" x14ac:dyDescent="0.25">
      <c r="U708" s="1"/>
    </row>
    <row r="709" spans="21:21" ht="20.100000000000001" customHeight="1" x14ac:dyDescent="0.25">
      <c r="U709" s="1"/>
    </row>
    <row r="710" spans="21:21" ht="20.100000000000001" customHeight="1" x14ac:dyDescent="0.25">
      <c r="U710" s="1"/>
    </row>
    <row r="711" spans="21:21" ht="20.100000000000001" customHeight="1" x14ac:dyDescent="0.25">
      <c r="U711" s="1"/>
    </row>
    <row r="712" spans="21:21" ht="20.100000000000001" customHeight="1" x14ac:dyDescent="0.25">
      <c r="U712" s="1"/>
    </row>
    <row r="713" spans="21:21" ht="20.100000000000001" customHeight="1" x14ac:dyDescent="0.25">
      <c r="U713" s="1"/>
    </row>
    <row r="714" spans="21:21" ht="20.100000000000001" customHeight="1" x14ac:dyDescent="0.25">
      <c r="U714" s="1"/>
    </row>
    <row r="715" spans="21:21" ht="20.100000000000001" customHeight="1" x14ac:dyDescent="0.25">
      <c r="U715" s="1"/>
    </row>
    <row r="716" spans="21:21" ht="20.100000000000001" customHeight="1" x14ac:dyDescent="0.25">
      <c r="U716" s="1"/>
    </row>
    <row r="717" spans="21:21" ht="20.100000000000001" customHeight="1" x14ac:dyDescent="0.25">
      <c r="U717" s="1"/>
    </row>
    <row r="718" spans="21:21" ht="20.100000000000001" customHeight="1" x14ac:dyDescent="0.25">
      <c r="U718" s="1"/>
    </row>
    <row r="719" spans="21:21" ht="20.100000000000001" customHeight="1" x14ac:dyDescent="0.25">
      <c r="U719" s="1"/>
    </row>
    <row r="720" spans="21:21" ht="20.100000000000001" customHeight="1" x14ac:dyDescent="0.25">
      <c r="U720" s="1"/>
    </row>
    <row r="721" spans="21:21" ht="20.100000000000001" customHeight="1" x14ac:dyDescent="0.25">
      <c r="U721" s="1"/>
    </row>
    <row r="722" spans="21:21" ht="20.100000000000001" customHeight="1" x14ac:dyDescent="0.25">
      <c r="U722" s="1"/>
    </row>
    <row r="723" spans="21:21" ht="20.100000000000001" customHeight="1" x14ac:dyDescent="0.25">
      <c r="U723" s="1"/>
    </row>
    <row r="724" spans="21:21" ht="20.100000000000001" customHeight="1" x14ac:dyDescent="0.25">
      <c r="U724" s="1"/>
    </row>
    <row r="725" spans="21:21" ht="20.100000000000001" customHeight="1" x14ac:dyDescent="0.25">
      <c r="U725" s="1"/>
    </row>
    <row r="726" spans="21:21" ht="20.100000000000001" customHeight="1" x14ac:dyDescent="0.25">
      <c r="U726" s="1"/>
    </row>
    <row r="727" spans="21:21" ht="20.100000000000001" customHeight="1" x14ac:dyDescent="0.25">
      <c r="U727" s="1"/>
    </row>
    <row r="728" spans="21:21" ht="20.100000000000001" customHeight="1" x14ac:dyDescent="0.25">
      <c r="U728" s="1"/>
    </row>
    <row r="729" spans="21:21" ht="20.100000000000001" customHeight="1" x14ac:dyDescent="0.25">
      <c r="U729" s="1"/>
    </row>
    <row r="730" spans="21:21" ht="20.100000000000001" customHeight="1" x14ac:dyDescent="0.25">
      <c r="U730" s="1"/>
    </row>
    <row r="731" spans="21:21" ht="20.100000000000001" customHeight="1" x14ac:dyDescent="0.25">
      <c r="U731" s="1"/>
    </row>
    <row r="732" spans="21:21" ht="20.100000000000001" customHeight="1" x14ac:dyDescent="0.25">
      <c r="U732" s="1"/>
    </row>
    <row r="733" spans="21:21" ht="20.100000000000001" customHeight="1" x14ac:dyDescent="0.25">
      <c r="U733" s="1"/>
    </row>
    <row r="734" spans="21:21" ht="20.100000000000001" customHeight="1" x14ac:dyDescent="0.25">
      <c r="U734" s="1"/>
    </row>
    <row r="735" spans="21:21" ht="20.100000000000001" customHeight="1" x14ac:dyDescent="0.25">
      <c r="U735" s="1"/>
    </row>
    <row r="736" spans="21:21" ht="20.100000000000001" customHeight="1" x14ac:dyDescent="0.25">
      <c r="U736" s="1"/>
    </row>
    <row r="737" spans="21:21" ht="20.100000000000001" customHeight="1" x14ac:dyDescent="0.25">
      <c r="U737" s="1"/>
    </row>
    <row r="738" spans="21:21" ht="20.100000000000001" customHeight="1" x14ac:dyDescent="0.25">
      <c r="U738" s="1"/>
    </row>
    <row r="739" spans="21:21" ht="20.100000000000001" customHeight="1" x14ac:dyDescent="0.25">
      <c r="U739" s="1"/>
    </row>
    <row r="740" spans="21:21" ht="20.100000000000001" customHeight="1" x14ac:dyDescent="0.25">
      <c r="U740" s="1"/>
    </row>
    <row r="741" spans="21:21" ht="20.100000000000001" customHeight="1" x14ac:dyDescent="0.25">
      <c r="U741" s="1"/>
    </row>
    <row r="742" spans="21:21" ht="20.100000000000001" customHeight="1" x14ac:dyDescent="0.25">
      <c r="U742" s="1"/>
    </row>
    <row r="743" spans="21:21" ht="20.100000000000001" customHeight="1" x14ac:dyDescent="0.25">
      <c r="U743" s="1"/>
    </row>
    <row r="744" spans="21:21" ht="20.100000000000001" customHeight="1" x14ac:dyDescent="0.25">
      <c r="U744" s="1"/>
    </row>
    <row r="745" spans="21:21" ht="20.100000000000001" customHeight="1" x14ac:dyDescent="0.25">
      <c r="U745" s="1"/>
    </row>
    <row r="746" spans="21:21" ht="20.100000000000001" customHeight="1" x14ac:dyDescent="0.25">
      <c r="U746" s="1"/>
    </row>
    <row r="747" spans="21:21" ht="20.100000000000001" customHeight="1" x14ac:dyDescent="0.25">
      <c r="U747" s="1"/>
    </row>
    <row r="748" spans="21:21" ht="20.100000000000001" customHeight="1" x14ac:dyDescent="0.25">
      <c r="U748" s="1"/>
    </row>
    <row r="749" spans="21:21" ht="20.100000000000001" customHeight="1" x14ac:dyDescent="0.25">
      <c r="U749" s="1"/>
    </row>
    <row r="750" spans="21:21" ht="20.100000000000001" customHeight="1" x14ac:dyDescent="0.25">
      <c r="U750" s="1"/>
    </row>
    <row r="751" spans="21:21" ht="20.100000000000001" customHeight="1" x14ac:dyDescent="0.25">
      <c r="U751" s="1"/>
    </row>
    <row r="752" spans="21:21" ht="20.100000000000001" customHeight="1" x14ac:dyDescent="0.25">
      <c r="U752" s="1"/>
    </row>
    <row r="753" spans="21:21" ht="20.100000000000001" customHeight="1" x14ac:dyDescent="0.25">
      <c r="U753" s="1"/>
    </row>
    <row r="754" spans="21:21" ht="20.100000000000001" customHeight="1" x14ac:dyDescent="0.25">
      <c r="U754" s="1"/>
    </row>
    <row r="755" spans="21:21" ht="20.100000000000001" customHeight="1" x14ac:dyDescent="0.25">
      <c r="U755" s="1"/>
    </row>
    <row r="756" spans="21:21" ht="20.100000000000001" customHeight="1" x14ac:dyDescent="0.25">
      <c r="U756" s="1"/>
    </row>
    <row r="757" spans="21:21" ht="20.100000000000001" customHeight="1" x14ac:dyDescent="0.25">
      <c r="U757" s="1"/>
    </row>
    <row r="758" spans="21:21" ht="20.100000000000001" customHeight="1" x14ac:dyDescent="0.25">
      <c r="U758" s="1"/>
    </row>
    <row r="759" spans="21:21" ht="20.100000000000001" customHeight="1" x14ac:dyDescent="0.25">
      <c r="U759" s="1"/>
    </row>
    <row r="760" spans="21:21" ht="20.100000000000001" customHeight="1" x14ac:dyDescent="0.25">
      <c r="U760" s="1"/>
    </row>
    <row r="761" spans="21:21" ht="20.100000000000001" customHeight="1" x14ac:dyDescent="0.25">
      <c r="U761" s="1"/>
    </row>
    <row r="762" spans="21:21" ht="20.100000000000001" customHeight="1" x14ac:dyDescent="0.25">
      <c r="U762" s="1"/>
    </row>
    <row r="763" spans="21:21" ht="20.100000000000001" customHeight="1" x14ac:dyDescent="0.25">
      <c r="U763" s="1"/>
    </row>
    <row r="764" spans="21:21" ht="20.100000000000001" customHeight="1" x14ac:dyDescent="0.25">
      <c r="U764" s="1"/>
    </row>
    <row r="765" spans="21:21" ht="20.100000000000001" customHeight="1" x14ac:dyDescent="0.25">
      <c r="U765" s="1"/>
    </row>
    <row r="766" spans="21:21" ht="20.100000000000001" customHeight="1" x14ac:dyDescent="0.25">
      <c r="U766" s="1"/>
    </row>
    <row r="767" spans="21:21" ht="20.100000000000001" customHeight="1" x14ac:dyDescent="0.25">
      <c r="U767" s="1"/>
    </row>
    <row r="768" spans="21:21" ht="20.100000000000001" customHeight="1" x14ac:dyDescent="0.25">
      <c r="U768" s="1"/>
    </row>
    <row r="769" spans="21:21" ht="20.100000000000001" customHeight="1" x14ac:dyDescent="0.25">
      <c r="U769" s="1"/>
    </row>
    <row r="770" spans="21:21" ht="20.100000000000001" customHeight="1" x14ac:dyDescent="0.25">
      <c r="U770" s="1"/>
    </row>
    <row r="771" spans="21:21" ht="20.100000000000001" customHeight="1" x14ac:dyDescent="0.25">
      <c r="U771" s="1"/>
    </row>
    <row r="772" spans="21:21" ht="20.100000000000001" customHeight="1" x14ac:dyDescent="0.25">
      <c r="U772" s="1"/>
    </row>
    <row r="773" spans="21:21" ht="20.100000000000001" customHeight="1" x14ac:dyDescent="0.25">
      <c r="U773" s="1"/>
    </row>
    <row r="774" spans="21:21" ht="20.100000000000001" customHeight="1" x14ac:dyDescent="0.25">
      <c r="U774" s="1"/>
    </row>
    <row r="775" spans="21:21" ht="20.100000000000001" customHeight="1" x14ac:dyDescent="0.25">
      <c r="U775" s="1"/>
    </row>
    <row r="776" spans="21:21" ht="20.100000000000001" customHeight="1" x14ac:dyDescent="0.25">
      <c r="U776" s="1"/>
    </row>
    <row r="777" spans="21:21" ht="20.100000000000001" customHeight="1" x14ac:dyDescent="0.25">
      <c r="U777" s="1"/>
    </row>
    <row r="778" spans="21:21" ht="20.100000000000001" customHeight="1" x14ac:dyDescent="0.25">
      <c r="U778" s="1"/>
    </row>
    <row r="779" spans="21:21" ht="20.100000000000001" customHeight="1" x14ac:dyDescent="0.25">
      <c r="U779" s="1"/>
    </row>
    <row r="780" spans="21:21" ht="20.100000000000001" customHeight="1" x14ac:dyDescent="0.25">
      <c r="U780" s="1"/>
    </row>
    <row r="781" spans="21:21" ht="20.100000000000001" customHeight="1" x14ac:dyDescent="0.25">
      <c r="U781" s="1"/>
    </row>
    <row r="782" spans="21:21" ht="20.100000000000001" customHeight="1" x14ac:dyDescent="0.25">
      <c r="U782" s="1"/>
    </row>
    <row r="783" spans="21:21" ht="20.100000000000001" customHeight="1" x14ac:dyDescent="0.25">
      <c r="U783" s="1"/>
    </row>
    <row r="784" spans="21:21" ht="20.100000000000001" customHeight="1" x14ac:dyDescent="0.25">
      <c r="U784" s="1"/>
    </row>
    <row r="785" spans="21:21" ht="20.100000000000001" customHeight="1" x14ac:dyDescent="0.25">
      <c r="U785" s="1"/>
    </row>
    <row r="786" spans="21:21" ht="20.100000000000001" customHeight="1" x14ac:dyDescent="0.25">
      <c r="U786" s="1"/>
    </row>
    <row r="787" spans="21:21" ht="20.100000000000001" customHeight="1" x14ac:dyDescent="0.25">
      <c r="U787" s="1"/>
    </row>
    <row r="788" spans="21:21" ht="20.100000000000001" customHeight="1" x14ac:dyDescent="0.25">
      <c r="U788" s="1"/>
    </row>
    <row r="789" spans="21:21" ht="20.100000000000001" customHeight="1" x14ac:dyDescent="0.25">
      <c r="U789" s="1"/>
    </row>
    <row r="790" spans="21:21" ht="20.100000000000001" customHeight="1" x14ac:dyDescent="0.25">
      <c r="U790" s="1"/>
    </row>
    <row r="791" spans="21:21" ht="20.100000000000001" customHeight="1" x14ac:dyDescent="0.25">
      <c r="U791" s="1"/>
    </row>
    <row r="792" spans="21:21" ht="20.100000000000001" customHeight="1" x14ac:dyDescent="0.25">
      <c r="U792" s="1"/>
    </row>
    <row r="793" spans="21:21" ht="20.100000000000001" customHeight="1" x14ac:dyDescent="0.25">
      <c r="U793" s="1"/>
    </row>
    <row r="794" spans="21:21" ht="20.100000000000001" customHeight="1" x14ac:dyDescent="0.25">
      <c r="U794" s="1"/>
    </row>
    <row r="795" spans="21:21" ht="20.100000000000001" customHeight="1" x14ac:dyDescent="0.25">
      <c r="U795" s="1"/>
    </row>
    <row r="796" spans="21:21" ht="20.100000000000001" customHeight="1" x14ac:dyDescent="0.25">
      <c r="U796" s="1"/>
    </row>
    <row r="797" spans="21:21" ht="20.100000000000001" customHeight="1" x14ac:dyDescent="0.25">
      <c r="U797" s="1"/>
    </row>
    <row r="798" spans="21:21" ht="20.100000000000001" customHeight="1" x14ac:dyDescent="0.25">
      <c r="U798" s="1"/>
    </row>
    <row r="799" spans="21:21" ht="20.100000000000001" customHeight="1" x14ac:dyDescent="0.25">
      <c r="U799" s="1"/>
    </row>
    <row r="800" spans="21:21" ht="20.100000000000001" customHeight="1" x14ac:dyDescent="0.25">
      <c r="U800" s="1"/>
    </row>
    <row r="801" spans="21:21" ht="20.100000000000001" customHeight="1" x14ac:dyDescent="0.25">
      <c r="U801" s="1"/>
    </row>
    <row r="802" spans="21:21" ht="20.100000000000001" customHeight="1" x14ac:dyDescent="0.25">
      <c r="U802" s="1"/>
    </row>
    <row r="803" spans="21:21" ht="20.100000000000001" customHeight="1" x14ac:dyDescent="0.25">
      <c r="U803" s="1"/>
    </row>
    <row r="804" spans="21:21" ht="20.100000000000001" customHeight="1" x14ac:dyDescent="0.25">
      <c r="U804" s="1"/>
    </row>
    <row r="805" spans="21:21" ht="20.100000000000001" customHeight="1" x14ac:dyDescent="0.25">
      <c r="U805" s="1"/>
    </row>
    <row r="806" spans="21:21" ht="20.100000000000001" customHeight="1" x14ac:dyDescent="0.25">
      <c r="U806" s="1"/>
    </row>
    <row r="807" spans="21:21" ht="20.100000000000001" customHeight="1" x14ac:dyDescent="0.25">
      <c r="U807" s="1"/>
    </row>
    <row r="808" spans="21:21" ht="20.100000000000001" customHeight="1" x14ac:dyDescent="0.25">
      <c r="U808" s="1"/>
    </row>
    <row r="809" spans="21:21" ht="20.100000000000001" customHeight="1" x14ac:dyDescent="0.25">
      <c r="U809" s="1"/>
    </row>
    <row r="810" spans="21:21" ht="20.100000000000001" customHeight="1" x14ac:dyDescent="0.25">
      <c r="U810" s="1"/>
    </row>
    <row r="811" spans="21:21" ht="20.100000000000001" customHeight="1" x14ac:dyDescent="0.25">
      <c r="U811" s="1"/>
    </row>
    <row r="812" spans="21:21" ht="20.100000000000001" customHeight="1" x14ac:dyDescent="0.25">
      <c r="U812" s="1"/>
    </row>
    <row r="813" spans="21:21" ht="20.100000000000001" customHeight="1" x14ac:dyDescent="0.25">
      <c r="U813" s="1"/>
    </row>
    <row r="814" spans="21:21" ht="20.100000000000001" customHeight="1" x14ac:dyDescent="0.25">
      <c r="U814" s="1"/>
    </row>
    <row r="815" spans="21:21" ht="20.100000000000001" customHeight="1" x14ac:dyDescent="0.25">
      <c r="U815" s="1"/>
    </row>
    <row r="816" spans="21:21" ht="20.100000000000001" customHeight="1" x14ac:dyDescent="0.25">
      <c r="U816" s="1"/>
    </row>
    <row r="817" spans="21:21" ht="20.100000000000001" customHeight="1" x14ac:dyDescent="0.25">
      <c r="U817" s="1"/>
    </row>
    <row r="818" spans="21:21" ht="20.100000000000001" customHeight="1" x14ac:dyDescent="0.25">
      <c r="U818" s="1"/>
    </row>
    <row r="819" spans="21:21" ht="20.100000000000001" customHeight="1" x14ac:dyDescent="0.25">
      <c r="U819" s="1"/>
    </row>
    <row r="820" spans="21:21" ht="20.100000000000001" customHeight="1" x14ac:dyDescent="0.25">
      <c r="U820" s="1"/>
    </row>
    <row r="821" spans="21:21" ht="20.100000000000001" customHeight="1" x14ac:dyDescent="0.25">
      <c r="U821" s="1"/>
    </row>
    <row r="822" spans="21:21" ht="20.100000000000001" customHeight="1" x14ac:dyDescent="0.25">
      <c r="U822" s="1"/>
    </row>
    <row r="823" spans="21:21" ht="20.100000000000001" customHeight="1" x14ac:dyDescent="0.25">
      <c r="U823" s="1"/>
    </row>
    <row r="824" spans="21:21" ht="20.100000000000001" customHeight="1" x14ac:dyDescent="0.25">
      <c r="U824" s="1"/>
    </row>
    <row r="825" spans="21:21" ht="20.100000000000001" customHeight="1" x14ac:dyDescent="0.25">
      <c r="U825" s="1"/>
    </row>
    <row r="826" spans="21:21" ht="20.100000000000001" customHeight="1" x14ac:dyDescent="0.25">
      <c r="U826" s="1"/>
    </row>
    <row r="827" spans="21:21" ht="20.100000000000001" customHeight="1" x14ac:dyDescent="0.25">
      <c r="U827" s="1"/>
    </row>
    <row r="828" spans="21:21" ht="20.100000000000001" customHeight="1" x14ac:dyDescent="0.25">
      <c r="U828" s="1"/>
    </row>
    <row r="829" spans="21:21" ht="20.100000000000001" customHeight="1" x14ac:dyDescent="0.25">
      <c r="U829" s="1"/>
    </row>
    <row r="830" spans="21:21" ht="20.100000000000001" customHeight="1" x14ac:dyDescent="0.25">
      <c r="U830" s="1"/>
    </row>
    <row r="831" spans="21:21" ht="20.100000000000001" customHeight="1" x14ac:dyDescent="0.25">
      <c r="U831" s="1"/>
    </row>
    <row r="832" spans="21:21" ht="20.100000000000001" customHeight="1" x14ac:dyDescent="0.25">
      <c r="U832" s="1"/>
    </row>
    <row r="833" spans="21:21" ht="20.100000000000001" customHeight="1" x14ac:dyDescent="0.25">
      <c r="U833" s="1"/>
    </row>
    <row r="834" spans="21:21" ht="20.100000000000001" customHeight="1" x14ac:dyDescent="0.25">
      <c r="U834" s="1"/>
    </row>
    <row r="835" spans="21:21" ht="20.100000000000001" customHeight="1" x14ac:dyDescent="0.25">
      <c r="U835" s="1"/>
    </row>
    <row r="836" spans="21:21" ht="20.100000000000001" customHeight="1" x14ac:dyDescent="0.25">
      <c r="U836" s="1"/>
    </row>
    <row r="837" spans="21:21" ht="20.100000000000001" customHeight="1" x14ac:dyDescent="0.25">
      <c r="U837" s="1"/>
    </row>
    <row r="838" spans="21:21" ht="20.100000000000001" customHeight="1" x14ac:dyDescent="0.25">
      <c r="U838" s="1"/>
    </row>
    <row r="839" spans="21:21" ht="20.100000000000001" customHeight="1" x14ac:dyDescent="0.25">
      <c r="U839" s="1"/>
    </row>
    <row r="840" spans="21:21" ht="20.100000000000001" customHeight="1" x14ac:dyDescent="0.25">
      <c r="U840" s="1"/>
    </row>
    <row r="841" spans="21:21" ht="20.100000000000001" customHeight="1" x14ac:dyDescent="0.25">
      <c r="U841" s="1"/>
    </row>
    <row r="842" spans="21:21" ht="20.100000000000001" customHeight="1" x14ac:dyDescent="0.25">
      <c r="U842" s="1"/>
    </row>
    <row r="843" spans="21:21" ht="20.100000000000001" customHeight="1" x14ac:dyDescent="0.25">
      <c r="U843" s="1"/>
    </row>
    <row r="844" spans="21:21" ht="20.100000000000001" customHeight="1" x14ac:dyDescent="0.25">
      <c r="U844" s="1"/>
    </row>
    <row r="845" spans="21:21" ht="20.100000000000001" customHeight="1" x14ac:dyDescent="0.25">
      <c r="U845" s="1"/>
    </row>
    <row r="846" spans="21:21" ht="20.100000000000001" customHeight="1" x14ac:dyDescent="0.25">
      <c r="U846" s="1"/>
    </row>
    <row r="847" spans="21:21" ht="20.100000000000001" customHeight="1" x14ac:dyDescent="0.25">
      <c r="U847" s="1"/>
    </row>
    <row r="848" spans="21:21" ht="20.100000000000001" customHeight="1" x14ac:dyDescent="0.25">
      <c r="U848" s="1"/>
    </row>
    <row r="849" spans="21:21" ht="20.100000000000001" customHeight="1" x14ac:dyDescent="0.25">
      <c r="U849" s="1"/>
    </row>
    <row r="850" spans="21:21" ht="20.100000000000001" customHeight="1" x14ac:dyDescent="0.25">
      <c r="U850" s="1"/>
    </row>
    <row r="851" spans="21:21" ht="20.100000000000001" customHeight="1" x14ac:dyDescent="0.25">
      <c r="U851" s="1"/>
    </row>
    <row r="852" spans="21:21" ht="20.100000000000001" customHeight="1" x14ac:dyDescent="0.25">
      <c r="U852" s="1"/>
    </row>
    <row r="853" spans="21:21" ht="20.100000000000001" customHeight="1" x14ac:dyDescent="0.25">
      <c r="U853" s="1"/>
    </row>
    <row r="854" spans="21:21" ht="20.100000000000001" customHeight="1" x14ac:dyDescent="0.25">
      <c r="U854" s="1"/>
    </row>
    <row r="855" spans="21:21" ht="20.100000000000001" customHeight="1" x14ac:dyDescent="0.25">
      <c r="U855" s="1"/>
    </row>
    <row r="856" spans="21:21" ht="20.100000000000001" customHeight="1" x14ac:dyDescent="0.25">
      <c r="U856" s="1"/>
    </row>
    <row r="857" spans="21:21" ht="20.100000000000001" customHeight="1" x14ac:dyDescent="0.25">
      <c r="U857" s="1"/>
    </row>
    <row r="858" spans="21:21" ht="20.100000000000001" customHeight="1" x14ac:dyDescent="0.25">
      <c r="U858" s="1"/>
    </row>
    <row r="859" spans="21:21" ht="20.100000000000001" customHeight="1" x14ac:dyDescent="0.25">
      <c r="U859" s="1"/>
    </row>
    <row r="860" spans="21:21" ht="20.100000000000001" customHeight="1" x14ac:dyDescent="0.25">
      <c r="U860" s="1"/>
    </row>
    <row r="861" spans="21:21" ht="20.100000000000001" customHeight="1" x14ac:dyDescent="0.25">
      <c r="U861" s="1"/>
    </row>
    <row r="862" spans="21:21" ht="20.100000000000001" customHeight="1" x14ac:dyDescent="0.25">
      <c r="U862" s="1"/>
    </row>
    <row r="863" spans="21:21" ht="20.100000000000001" customHeight="1" x14ac:dyDescent="0.25">
      <c r="U863" s="1"/>
    </row>
    <row r="864" spans="21:21" ht="20.100000000000001" customHeight="1" x14ac:dyDescent="0.25">
      <c r="U864" s="1"/>
    </row>
    <row r="865" spans="21:21" ht="20.100000000000001" customHeight="1" x14ac:dyDescent="0.25">
      <c r="U865" s="1"/>
    </row>
    <row r="866" spans="21:21" ht="20.100000000000001" customHeight="1" x14ac:dyDescent="0.25">
      <c r="U866" s="1"/>
    </row>
    <row r="867" spans="21:21" ht="20.100000000000001" customHeight="1" x14ac:dyDescent="0.25">
      <c r="U867" s="1"/>
    </row>
    <row r="868" spans="21:21" ht="20.100000000000001" customHeight="1" x14ac:dyDescent="0.25">
      <c r="U868" s="1"/>
    </row>
    <row r="869" spans="21:21" ht="20.100000000000001" customHeight="1" x14ac:dyDescent="0.25">
      <c r="U869" s="1"/>
    </row>
    <row r="870" spans="21:21" ht="20.100000000000001" customHeight="1" x14ac:dyDescent="0.25">
      <c r="U870" s="1"/>
    </row>
    <row r="871" spans="21:21" ht="20.100000000000001" customHeight="1" x14ac:dyDescent="0.25">
      <c r="U871" s="1"/>
    </row>
    <row r="872" spans="21:21" ht="20.100000000000001" customHeight="1" x14ac:dyDescent="0.25">
      <c r="U872" s="1"/>
    </row>
    <row r="873" spans="21:21" ht="20.100000000000001" customHeight="1" x14ac:dyDescent="0.25">
      <c r="U873" s="1"/>
    </row>
    <row r="874" spans="21:21" ht="20.100000000000001" customHeight="1" x14ac:dyDescent="0.25">
      <c r="U874" s="1"/>
    </row>
    <row r="875" spans="21:21" ht="20.100000000000001" customHeight="1" x14ac:dyDescent="0.25">
      <c r="U875" s="1"/>
    </row>
    <row r="876" spans="21:21" ht="20.100000000000001" customHeight="1" x14ac:dyDescent="0.25">
      <c r="U876" s="1"/>
    </row>
    <row r="877" spans="21:21" ht="20.100000000000001" customHeight="1" x14ac:dyDescent="0.25">
      <c r="U877" s="1"/>
    </row>
    <row r="878" spans="21:21" ht="20.100000000000001" customHeight="1" x14ac:dyDescent="0.25">
      <c r="U878" s="1"/>
    </row>
    <row r="879" spans="21:21" ht="20.100000000000001" customHeight="1" x14ac:dyDescent="0.25">
      <c r="U879" s="1"/>
    </row>
    <row r="880" spans="21:21" ht="20.100000000000001" customHeight="1" x14ac:dyDescent="0.25">
      <c r="U880" s="1"/>
    </row>
    <row r="881" spans="21:21" ht="20.100000000000001" customHeight="1" x14ac:dyDescent="0.25">
      <c r="U881" s="1"/>
    </row>
    <row r="882" spans="21:21" ht="20.100000000000001" customHeight="1" x14ac:dyDescent="0.25">
      <c r="U882" s="1"/>
    </row>
    <row r="883" spans="21:21" ht="20.100000000000001" customHeight="1" x14ac:dyDescent="0.25">
      <c r="U883" s="1"/>
    </row>
    <row r="884" spans="21:21" ht="20.100000000000001" customHeight="1" x14ac:dyDescent="0.25">
      <c r="U884" s="1"/>
    </row>
    <row r="885" spans="21:21" ht="20.100000000000001" customHeight="1" x14ac:dyDescent="0.25">
      <c r="U885" s="1"/>
    </row>
    <row r="886" spans="21:21" ht="20.100000000000001" customHeight="1" x14ac:dyDescent="0.25">
      <c r="U886" s="1"/>
    </row>
    <row r="887" spans="21:21" ht="20.100000000000001" customHeight="1" x14ac:dyDescent="0.25">
      <c r="U887" s="1"/>
    </row>
    <row r="888" spans="21:21" ht="20.100000000000001" customHeight="1" x14ac:dyDescent="0.25">
      <c r="U888" s="1"/>
    </row>
    <row r="889" spans="21:21" ht="20.100000000000001" customHeight="1" x14ac:dyDescent="0.25">
      <c r="U889" s="1"/>
    </row>
    <row r="890" spans="21:21" ht="20.100000000000001" customHeight="1" x14ac:dyDescent="0.25">
      <c r="U890" s="1"/>
    </row>
    <row r="891" spans="21:21" ht="20.100000000000001" customHeight="1" x14ac:dyDescent="0.25">
      <c r="U891" s="1"/>
    </row>
    <row r="892" spans="21:21" ht="20.100000000000001" customHeight="1" x14ac:dyDescent="0.25">
      <c r="U892" s="1"/>
    </row>
    <row r="893" spans="21:21" ht="20.100000000000001" customHeight="1" x14ac:dyDescent="0.25">
      <c r="U893" s="1"/>
    </row>
    <row r="894" spans="21:21" ht="20.100000000000001" customHeight="1" x14ac:dyDescent="0.25">
      <c r="U894" s="1"/>
    </row>
    <row r="895" spans="21:21" ht="20.100000000000001" customHeight="1" x14ac:dyDescent="0.25">
      <c r="U895" s="1"/>
    </row>
    <row r="896" spans="21:21" ht="20.100000000000001" customHeight="1" x14ac:dyDescent="0.25">
      <c r="U896" s="1"/>
    </row>
    <row r="897" spans="21:21" ht="20.100000000000001" customHeight="1" x14ac:dyDescent="0.25">
      <c r="U897" s="1"/>
    </row>
    <row r="898" spans="21:21" ht="20.100000000000001" customHeight="1" x14ac:dyDescent="0.25">
      <c r="U898" s="1"/>
    </row>
    <row r="899" spans="21:21" ht="20.100000000000001" customHeight="1" x14ac:dyDescent="0.25">
      <c r="U899" s="1"/>
    </row>
    <row r="900" spans="21:21" ht="20.100000000000001" customHeight="1" x14ac:dyDescent="0.25">
      <c r="U900" s="1"/>
    </row>
    <row r="901" spans="21:21" ht="20.100000000000001" customHeight="1" x14ac:dyDescent="0.25">
      <c r="U901" s="1"/>
    </row>
    <row r="902" spans="21:21" ht="20.100000000000001" customHeight="1" x14ac:dyDescent="0.25">
      <c r="U902" s="1"/>
    </row>
    <row r="903" spans="21:21" ht="20.100000000000001" customHeight="1" x14ac:dyDescent="0.25">
      <c r="U903" s="1"/>
    </row>
    <row r="904" spans="21:21" ht="20.100000000000001" customHeight="1" x14ac:dyDescent="0.25">
      <c r="U904" s="1"/>
    </row>
    <row r="905" spans="21:21" ht="20.100000000000001" customHeight="1" x14ac:dyDescent="0.25">
      <c r="U905" s="1"/>
    </row>
    <row r="906" spans="21:21" ht="20.100000000000001" customHeight="1" x14ac:dyDescent="0.25">
      <c r="U906" s="1"/>
    </row>
    <row r="907" spans="21:21" ht="20.100000000000001" customHeight="1" x14ac:dyDescent="0.25">
      <c r="U907" s="1"/>
    </row>
    <row r="908" spans="21:21" ht="20.100000000000001" customHeight="1" x14ac:dyDescent="0.25">
      <c r="U908" s="1"/>
    </row>
    <row r="909" spans="21:21" ht="20.100000000000001" customHeight="1" x14ac:dyDescent="0.25">
      <c r="U909" s="1"/>
    </row>
    <row r="910" spans="21:21" ht="20.100000000000001" customHeight="1" x14ac:dyDescent="0.25">
      <c r="U910" s="1"/>
    </row>
    <row r="911" spans="21:21" ht="20.100000000000001" customHeight="1" x14ac:dyDescent="0.25">
      <c r="U911" s="1"/>
    </row>
    <row r="912" spans="21:21" ht="20.100000000000001" customHeight="1" x14ac:dyDescent="0.25">
      <c r="U912" s="1"/>
    </row>
    <row r="913" spans="21:21" ht="20.100000000000001" customHeight="1" x14ac:dyDescent="0.25">
      <c r="U913" s="1"/>
    </row>
    <row r="914" spans="21:21" ht="20.100000000000001" customHeight="1" x14ac:dyDescent="0.25">
      <c r="U914" s="1"/>
    </row>
    <row r="915" spans="21:21" ht="20.100000000000001" customHeight="1" x14ac:dyDescent="0.25">
      <c r="U915" s="1"/>
    </row>
    <row r="916" spans="21:21" ht="20.100000000000001" customHeight="1" x14ac:dyDescent="0.25">
      <c r="U916" s="1"/>
    </row>
    <row r="917" spans="21:21" ht="20.100000000000001" customHeight="1" x14ac:dyDescent="0.25">
      <c r="U917" s="1"/>
    </row>
    <row r="918" spans="21:21" ht="20.100000000000001" customHeight="1" x14ac:dyDescent="0.25">
      <c r="U918" s="1"/>
    </row>
    <row r="919" spans="21:21" ht="20.100000000000001" customHeight="1" x14ac:dyDescent="0.25">
      <c r="U919" s="1"/>
    </row>
    <row r="920" spans="21:21" ht="20.100000000000001" customHeight="1" x14ac:dyDescent="0.25">
      <c r="U920" s="1"/>
    </row>
    <row r="921" spans="21:21" ht="20.100000000000001" customHeight="1" x14ac:dyDescent="0.25">
      <c r="U921" s="1"/>
    </row>
    <row r="922" spans="21:21" ht="20.100000000000001" customHeight="1" x14ac:dyDescent="0.25">
      <c r="U922" s="1"/>
    </row>
    <row r="923" spans="21:21" ht="20.100000000000001" customHeight="1" x14ac:dyDescent="0.25">
      <c r="U923" s="1"/>
    </row>
    <row r="924" spans="21:21" ht="20.100000000000001" customHeight="1" x14ac:dyDescent="0.25">
      <c r="U924" s="1"/>
    </row>
    <row r="925" spans="21:21" ht="20.100000000000001" customHeight="1" x14ac:dyDescent="0.25">
      <c r="U925" s="1"/>
    </row>
    <row r="926" spans="21:21" ht="20.100000000000001" customHeight="1" x14ac:dyDescent="0.25">
      <c r="U926" s="1"/>
    </row>
    <row r="927" spans="21:21" ht="20.100000000000001" customHeight="1" x14ac:dyDescent="0.25">
      <c r="U927" s="1"/>
    </row>
    <row r="928" spans="21:21" ht="20.100000000000001" customHeight="1" x14ac:dyDescent="0.25">
      <c r="U928" s="1"/>
    </row>
    <row r="929" spans="21:21" ht="20.100000000000001" customHeight="1" x14ac:dyDescent="0.25">
      <c r="U929" s="1"/>
    </row>
    <row r="930" spans="21:21" ht="20.100000000000001" customHeight="1" x14ac:dyDescent="0.25">
      <c r="U930" s="1"/>
    </row>
    <row r="931" spans="21:21" ht="20.100000000000001" customHeight="1" x14ac:dyDescent="0.25">
      <c r="U931" s="1"/>
    </row>
    <row r="932" spans="21:21" ht="20.100000000000001" customHeight="1" x14ac:dyDescent="0.25">
      <c r="U932" s="1"/>
    </row>
    <row r="933" spans="21:21" ht="20.100000000000001" customHeight="1" x14ac:dyDescent="0.25">
      <c r="U933" s="1"/>
    </row>
    <row r="934" spans="21:21" ht="20.100000000000001" customHeight="1" x14ac:dyDescent="0.25">
      <c r="U934" s="1"/>
    </row>
    <row r="935" spans="21:21" ht="20.100000000000001" customHeight="1" x14ac:dyDescent="0.25">
      <c r="U935" s="1"/>
    </row>
    <row r="936" spans="21:21" ht="20.100000000000001" customHeight="1" x14ac:dyDescent="0.25">
      <c r="U936" s="1"/>
    </row>
    <row r="937" spans="21:21" ht="20.100000000000001" customHeight="1" x14ac:dyDescent="0.25">
      <c r="U937" s="1"/>
    </row>
    <row r="938" spans="21:21" ht="20.100000000000001" customHeight="1" x14ac:dyDescent="0.25">
      <c r="U938" s="1"/>
    </row>
    <row r="939" spans="21:21" ht="20.100000000000001" customHeight="1" x14ac:dyDescent="0.25">
      <c r="U939" s="1"/>
    </row>
    <row r="940" spans="21:21" ht="20.100000000000001" customHeight="1" x14ac:dyDescent="0.25">
      <c r="U940" s="1"/>
    </row>
    <row r="941" spans="21:21" ht="20.100000000000001" customHeight="1" x14ac:dyDescent="0.25">
      <c r="U941" s="1"/>
    </row>
    <row r="942" spans="21:21" ht="20.100000000000001" customHeight="1" x14ac:dyDescent="0.25">
      <c r="U942" s="1"/>
    </row>
    <row r="943" spans="21:21" ht="20.100000000000001" customHeight="1" x14ac:dyDescent="0.25">
      <c r="U943" s="1"/>
    </row>
    <row r="944" spans="21:21" ht="20.100000000000001" customHeight="1" x14ac:dyDescent="0.25">
      <c r="U944" s="1"/>
    </row>
    <row r="945" spans="21:21" ht="20.100000000000001" customHeight="1" x14ac:dyDescent="0.25">
      <c r="U945" s="1"/>
    </row>
    <row r="946" spans="21:21" ht="20.100000000000001" customHeight="1" x14ac:dyDescent="0.25">
      <c r="U946" s="1"/>
    </row>
    <row r="947" spans="21:21" ht="20.100000000000001" customHeight="1" x14ac:dyDescent="0.25">
      <c r="U947" s="1"/>
    </row>
    <row r="948" spans="21:21" ht="20.100000000000001" customHeight="1" x14ac:dyDescent="0.25">
      <c r="U948" s="1"/>
    </row>
    <row r="949" spans="21:21" ht="20.100000000000001" customHeight="1" x14ac:dyDescent="0.25">
      <c r="U949" s="1"/>
    </row>
    <row r="950" spans="21:21" ht="20.100000000000001" customHeight="1" x14ac:dyDescent="0.25">
      <c r="U950" s="1"/>
    </row>
    <row r="951" spans="21:21" ht="20.100000000000001" customHeight="1" x14ac:dyDescent="0.25">
      <c r="U951" s="1"/>
    </row>
    <row r="952" spans="21:21" ht="20.100000000000001" customHeight="1" x14ac:dyDescent="0.25">
      <c r="U952" s="1"/>
    </row>
    <row r="953" spans="21:21" ht="20.100000000000001" customHeight="1" x14ac:dyDescent="0.25">
      <c r="U953" s="1"/>
    </row>
    <row r="954" spans="21:21" ht="20.100000000000001" customHeight="1" x14ac:dyDescent="0.25">
      <c r="U954" s="1"/>
    </row>
    <row r="955" spans="21:21" ht="20.100000000000001" customHeight="1" x14ac:dyDescent="0.25">
      <c r="U955" s="1"/>
    </row>
    <row r="956" spans="21:21" ht="20.100000000000001" customHeight="1" x14ac:dyDescent="0.25">
      <c r="U956" s="1"/>
    </row>
    <row r="957" spans="21:21" ht="20.100000000000001" customHeight="1" x14ac:dyDescent="0.25">
      <c r="U957" s="1"/>
    </row>
    <row r="958" spans="21:21" ht="20.100000000000001" customHeight="1" x14ac:dyDescent="0.25">
      <c r="U958" s="1"/>
    </row>
    <row r="959" spans="21:21" ht="20.100000000000001" customHeight="1" x14ac:dyDescent="0.25">
      <c r="U959" s="1"/>
    </row>
    <row r="960" spans="21:21" ht="20.100000000000001" customHeight="1" x14ac:dyDescent="0.25">
      <c r="U960" s="1"/>
    </row>
    <row r="961" spans="21:21" ht="20.100000000000001" customHeight="1" x14ac:dyDescent="0.25">
      <c r="U961" s="1"/>
    </row>
    <row r="962" spans="21:21" ht="20.100000000000001" customHeight="1" x14ac:dyDescent="0.25">
      <c r="U962" s="1"/>
    </row>
    <row r="963" spans="21:21" ht="20.100000000000001" customHeight="1" x14ac:dyDescent="0.25">
      <c r="U963" s="1"/>
    </row>
    <row r="964" spans="21:21" ht="20.100000000000001" customHeight="1" x14ac:dyDescent="0.25">
      <c r="U964" s="1"/>
    </row>
    <row r="965" spans="21:21" ht="20.100000000000001" customHeight="1" x14ac:dyDescent="0.25">
      <c r="U965" s="1"/>
    </row>
    <row r="966" spans="21:21" ht="20.100000000000001" customHeight="1" x14ac:dyDescent="0.25">
      <c r="U966" s="1"/>
    </row>
    <row r="967" spans="21:21" ht="20.100000000000001" customHeight="1" x14ac:dyDescent="0.25">
      <c r="U967" s="1"/>
    </row>
    <row r="968" spans="21:21" ht="20.100000000000001" customHeight="1" x14ac:dyDescent="0.25">
      <c r="U968" s="1"/>
    </row>
    <row r="969" spans="21:21" ht="20.100000000000001" customHeight="1" x14ac:dyDescent="0.25">
      <c r="U969" s="1"/>
    </row>
    <row r="970" spans="21:21" ht="20.100000000000001" customHeight="1" x14ac:dyDescent="0.25">
      <c r="U970" s="1"/>
    </row>
    <row r="971" spans="21:21" ht="20.100000000000001" customHeight="1" x14ac:dyDescent="0.25">
      <c r="U971" s="1"/>
    </row>
    <row r="972" spans="21:21" ht="20.100000000000001" customHeight="1" x14ac:dyDescent="0.25">
      <c r="U972" s="1"/>
    </row>
    <row r="973" spans="21:21" ht="20.100000000000001" customHeight="1" x14ac:dyDescent="0.25">
      <c r="U973" s="1"/>
    </row>
    <row r="974" spans="21:21" ht="20.100000000000001" customHeight="1" x14ac:dyDescent="0.25">
      <c r="U974" s="1"/>
    </row>
    <row r="975" spans="21:21" ht="20.100000000000001" customHeight="1" x14ac:dyDescent="0.25">
      <c r="U975" s="1"/>
    </row>
    <row r="976" spans="21:21" ht="20.100000000000001" customHeight="1" x14ac:dyDescent="0.25">
      <c r="U976" s="1"/>
    </row>
    <row r="977" spans="21:21" ht="20.100000000000001" customHeight="1" x14ac:dyDescent="0.25">
      <c r="U977" s="1"/>
    </row>
    <row r="978" spans="21:21" ht="20.100000000000001" customHeight="1" x14ac:dyDescent="0.25">
      <c r="U978" s="1"/>
    </row>
    <row r="979" spans="21:21" ht="20.100000000000001" customHeight="1" x14ac:dyDescent="0.25">
      <c r="U979" s="1"/>
    </row>
    <row r="980" spans="21:21" ht="20.100000000000001" customHeight="1" x14ac:dyDescent="0.25">
      <c r="U980" s="1"/>
    </row>
    <row r="981" spans="21:21" ht="20.100000000000001" customHeight="1" x14ac:dyDescent="0.25">
      <c r="U981" s="1"/>
    </row>
    <row r="982" spans="21:21" ht="20.100000000000001" customHeight="1" x14ac:dyDescent="0.25">
      <c r="U982" s="1"/>
    </row>
    <row r="983" spans="21:21" ht="20.100000000000001" customHeight="1" x14ac:dyDescent="0.25">
      <c r="U983" s="1"/>
    </row>
    <row r="984" spans="21:21" ht="20.100000000000001" customHeight="1" x14ac:dyDescent="0.25">
      <c r="U984" s="1"/>
    </row>
    <row r="985" spans="21:21" ht="20.100000000000001" customHeight="1" x14ac:dyDescent="0.25">
      <c r="U985" s="1"/>
    </row>
    <row r="986" spans="21:21" ht="20.100000000000001" customHeight="1" x14ac:dyDescent="0.25">
      <c r="U986" s="1"/>
    </row>
    <row r="987" spans="21:21" ht="20.100000000000001" customHeight="1" x14ac:dyDescent="0.25">
      <c r="U987" s="1"/>
    </row>
    <row r="988" spans="21:21" ht="20.100000000000001" customHeight="1" x14ac:dyDescent="0.25">
      <c r="U988" s="1"/>
    </row>
    <row r="989" spans="21:21" ht="20.100000000000001" customHeight="1" x14ac:dyDescent="0.25">
      <c r="U989" s="1"/>
    </row>
    <row r="990" spans="21:21" ht="20.100000000000001" customHeight="1" x14ac:dyDescent="0.25">
      <c r="U990" s="1"/>
    </row>
    <row r="991" spans="21:21" ht="20.100000000000001" customHeight="1" x14ac:dyDescent="0.25">
      <c r="U991" s="1"/>
    </row>
    <row r="992" spans="21:21" ht="20.100000000000001" customHeight="1" x14ac:dyDescent="0.25">
      <c r="U992" s="1"/>
    </row>
    <row r="993" spans="21:21" ht="20.100000000000001" customHeight="1" x14ac:dyDescent="0.25">
      <c r="U993" s="1"/>
    </row>
    <row r="994" spans="21:21" ht="20.100000000000001" customHeight="1" x14ac:dyDescent="0.25">
      <c r="U994" s="1"/>
    </row>
    <row r="995" spans="21:21" ht="20.100000000000001" customHeight="1" x14ac:dyDescent="0.25">
      <c r="U995" s="1"/>
    </row>
    <row r="996" spans="21:21" ht="20.100000000000001" customHeight="1" x14ac:dyDescent="0.25">
      <c r="U996" s="1"/>
    </row>
    <row r="997" spans="21:21" ht="20.100000000000001" customHeight="1" x14ac:dyDescent="0.25">
      <c r="U997" s="1"/>
    </row>
    <row r="998" spans="21:21" ht="20.100000000000001" customHeight="1" x14ac:dyDescent="0.25">
      <c r="U998" s="1"/>
    </row>
    <row r="999" spans="21:21" ht="20.100000000000001" customHeight="1" x14ac:dyDescent="0.25">
      <c r="U999" s="1"/>
    </row>
    <row r="1000" spans="21:21" ht="20.100000000000001" customHeight="1" x14ac:dyDescent="0.25">
      <c r="U1000" s="1"/>
    </row>
    <row r="1001" spans="21:21" ht="20.100000000000001" customHeight="1" x14ac:dyDescent="0.25">
      <c r="U1001" s="1"/>
    </row>
    <row r="1002" spans="21:21" ht="20.100000000000001" customHeight="1" x14ac:dyDescent="0.25">
      <c r="U1002" s="1"/>
    </row>
    <row r="1003" spans="21:21" ht="20.100000000000001" customHeight="1" x14ac:dyDescent="0.25">
      <c r="U1003" s="1"/>
    </row>
    <row r="1004" spans="21:21" ht="20.100000000000001" customHeight="1" x14ac:dyDescent="0.25">
      <c r="U1004" s="1"/>
    </row>
    <row r="1005" spans="21:21" ht="20.100000000000001" customHeight="1" x14ac:dyDescent="0.25">
      <c r="U1005" s="1"/>
    </row>
    <row r="1006" spans="21:21" ht="20.100000000000001" customHeight="1" x14ac:dyDescent="0.25">
      <c r="U1006" s="1"/>
    </row>
    <row r="1007" spans="21:21" ht="20.100000000000001" customHeight="1" x14ac:dyDescent="0.25">
      <c r="U1007" s="1"/>
    </row>
    <row r="1008" spans="21:21" ht="20.100000000000001" customHeight="1" x14ac:dyDescent="0.25">
      <c r="U1008" s="1"/>
    </row>
    <row r="1009" spans="21:21" ht="20.100000000000001" customHeight="1" x14ac:dyDescent="0.25">
      <c r="U1009" s="1"/>
    </row>
    <row r="1010" spans="21:21" ht="20.100000000000001" customHeight="1" x14ac:dyDescent="0.25">
      <c r="U1010" s="1"/>
    </row>
    <row r="1011" spans="21:21" ht="20.100000000000001" customHeight="1" x14ac:dyDescent="0.25">
      <c r="U1011" s="1"/>
    </row>
    <row r="1012" spans="21:21" ht="20.100000000000001" customHeight="1" x14ac:dyDescent="0.25">
      <c r="U1012" s="1"/>
    </row>
    <row r="1013" spans="21:21" ht="20.100000000000001" customHeight="1" x14ac:dyDescent="0.25">
      <c r="U1013" s="1"/>
    </row>
    <row r="1014" spans="21:21" ht="20.100000000000001" customHeight="1" x14ac:dyDescent="0.25">
      <c r="U1014" s="1"/>
    </row>
    <row r="1015" spans="21:21" ht="20.100000000000001" customHeight="1" x14ac:dyDescent="0.25">
      <c r="U1015" s="1"/>
    </row>
    <row r="1016" spans="21:21" ht="20.100000000000001" customHeight="1" x14ac:dyDescent="0.25">
      <c r="U1016" s="1"/>
    </row>
    <row r="1017" spans="21:21" ht="20.100000000000001" customHeight="1" x14ac:dyDescent="0.25">
      <c r="U1017" s="1"/>
    </row>
    <row r="1018" spans="21:21" ht="20.100000000000001" customHeight="1" x14ac:dyDescent="0.25">
      <c r="U1018" s="1"/>
    </row>
    <row r="1019" spans="21:21" ht="20.100000000000001" customHeight="1" x14ac:dyDescent="0.25">
      <c r="U1019" s="1"/>
    </row>
    <row r="1020" spans="21:21" ht="20.100000000000001" customHeight="1" x14ac:dyDescent="0.25">
      <c r="U1020" s="1"/>
    </row>
    <row r="1021" spans="21:21" ht="20.100000000000001" customHeight="1" x14ac:dyDescent="0.25">
      <c r="U1021" s="1"/>
    </row>
    <row r="1022" spans="21:21" ht="20.100000000000001" customHeight="1" x14ac:dyDescent="0.25">
      <c r="U1022" s="1"/>
    </row>
    <row r="1023" spans="21:21" ht="20.100000000000001" customHeight="1" x14ac:dyDescent="0.25">
      <c r="U1023" s="1"/>
    </row>
    <row r="1024" spans="21:21" ht="20.100000000000001" customHeight="1" x14ac:dyDescent="0.25">
      <c r="U1024" s="1"/>
    </row>
    <row r="1025" spans="21:21" ht="20.100000000000001" customHeight="1" x14ac:dyDescent="0.25">
      <c r="U1025" s="1"/>
    </row>
    <row r="1026" spans="21:21" ht="20.100000000000001" customHeight="1" x14ac:dyDescent="0.25">
      <c r="U1026" s="1"/>
    </row>
    <row r="1027" spans="21:21" ht="20.100000000000001" customHeight="1" x14ac:dyDescent="0.25">
      <c r="U1027" s="1"/>
    </row>
    <row r="1028" spans="21:21" ht="20.100000000000001" customHeight="1" x14ac:dyDescent="0.25">
      <c r="U1028" s="1"/>
    </row>
    <row r="1029" spans="21:21" ht="20.100000000000001" customHeight="1" x14ac:dyDescent="0.25">
      <c r="U1029" s="1"/>
    </row>
    <row r="1030" spans="21:21" ht="20.100000000000001" customHeight="1" x14ac:dyDescent="0.25">
      <c r="U1030" s="1"/>
    </row>
    <row r="1031" spans="21:21" ht="20.100000000000001" customHeight="1" x14ac:dyDescent="0.25">
      <c r="U1031" s="1"/>
    </row>
    <row r="1032" spans="21:21" ht="20.100000000000001" customHeight="1" x14ac:dyDescent="0.25">
      <c r="U1032" s="1"/>
    </row>
    <row r="1033" spans="21:21" x14ac:dyDescent="0.25">
      <c r="U1033" s="1"/>
    </row>
    <row r="1034" spans="21:21" x14ac:dyDescent="0.25">
      <c r="U1034" s="1"/>
    </row>
    <row r="1035" spans="21:21" x14ac:dyDescent="0.25">
      <c r="U1035" s="1"/>
    </row>
    <row r="1036" spans="21:21" x14ac:dyDescent="0.25">
      <c r="U1036" s="1"/>
    </row>
    <row r="1037" spans="21:21" x14ac:dyDescent="0.25">
      <c r="U1037" s="1"/>
    </row>
    <row r="1038" spans="21:21" x14ac:dyDescent="0.25">
      <c r="U1038" s="1"/>
    </row>
    <row r="1039" spans="21:21" x14ac:dyDescent="0.25">
      <c r="U1039" s="1"/>
    </row>
    <row r="1040" spans="21:21" x14ac:dyDescent="0.25">
      <c r="U1040" s="1"/>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48F74-F30A-4491-B80C-AF6BD9E6F1A5}">
  <sheetPr codeName="Sheet3"/>
  <dimension ref="A1:O127"/>
  <sheetViews>
    <sheetView workbookViewId="0"/>
  </sheetViews>
  <sheetFormatPr defaultRowHeight="15" x14ac:dyDescent="0.25"/>
  <cols>
    <col min="1" max="1" width="15.5703125" style="93" bestFit="1" customWidth="1"/>
    <col min="2" max="2" width="12.7109375" style="93" bestFit="1" customWidth="1"/>
    <col min="3" max="3" width="25.5703125" style="93" bestFit="1" customWidth="1"/>
    <col min="4" max="4" width="14.28515625" style="93" bestFit="1" customWidth="1"/>
    <col min="5" max="5" width="13.140625" style="93" bestFit="1" customWidth="1"/>
    <col min="6" max="6" width="14.85546875" style="93" bestFit="1" customWidth="1"/>
    <col min="7" max="7" width="14" style="93" bestFit="1" customWidth="1"/>
    <col min="8" max="8" width="11" style="93" bestFit="1" customWidth="1"/>
    <col min="9" max="9" width="15.28515625" style="93" bestFit="1" customWidth="1"/>
    <col min="10" max="10" width="14.85546875" style="93" bestFit="1" customWidth="1"/>
    <col min="11" max="12" width="15.5703125" style="93" bestFit="1" customWidth="1"/>
    <col min="13" max="13" width="29" style="93" bestFit="1" customWidth="1"/>
    <col min="14" max="14" width="10" style="93" bestFit="1" customWidth="1"/>
    <col min="15" max="15" width="7.85546875" style="93" bestFit="1" customWidth="1"/>
    <col min="16" max="16" width="10" style="93" customWidth="1"/>
    <col min="17" max="17" width="10" style="93" bestFit="1" customWidth="1"/>
    <col min="18" max="16384" width="9.140625" style="93"/>
  </cols>
  <sheetData>
    <row r="1" spans="1:15" x14ac:dyDescent="0.25">
      <c r="A1" s="93" t="s">
        <v>0</v>
      </c>
      <c r="B1" s="93" t="s">
        <v>338</v>
      </c>
      <c r="C1" s="93" t="s">
        <v>339</v>
      </c>
      <c r="D1" s="93" t="s">
        <v>7</v>
      </c>
      <c r="E1" s="93" t="s">
        <v>340</v>
      </c>
      <c r="F1" s="93" t="s">
        <v>179</v>
      </c>
      <c r="G1" s="93" t="s">
        <v>180</v>
      </c>
      <c r="H1" t="s">
        <v>423</v>
      </c>
      <c r="I1" s="93" t="s">
        <v>10</v>
      </c>
      <c r="J1" s="93" t="s">
        <v>12</v>
      </c>
      <c r="K1" s="93" t="s">
        <v>11</v>
      </c>
      <c r="L1" s="93" t="s">
        <v>3</v>
      </c>
      <c r="M1" s="93" t="s">
        <v>4</v>
      </c>
      <c r="N1" s="93" t="s">
        <v>190</v>
      </c>
      <c r="O1" t="s">
        <v>424</v>
      </c>
    </row>
    <row r="2" spans="1:15" x14ac:dyDescent="0.25">
      <c r="A2" s="93" t="s">
        <v>13</v>
      </c>
      <c r="B2" s="93" t="s">
        <v>341</v>
      </c>
      <c r="C2" s="93" t="s">
        <v>342</v>
      </c>
      <c r="D2" s="93" t="s">
        <v>8</v>
      </c>
      <c r="E2" s="93" t="s">
        <v>343</v>
      </c>
      <c r="F2" s="93" t="s">
        <v>167</v>
      </c>
      <c r="G2" s="93" t="s">
        <v>167</v>
      </c>
      <c r="H2">
        <v>10160</v>
      </c>
      <c r="I2" s="93" t="s">
        <v>16</v>
      </c>
      <c r="J2" s="95">
        <v>45500</v>
      </c>
      <c r="K2" s="95">
        <v>45594</v>
      </c>
      <c r="L2" s="95">
        <v>45514</v>
      </c>
      <c r="M2" s="93" t="s">
        <v>28</v>
      </c>
      <c r="N2" s="93" t="s">
        <v>228</v>
      </c>
      <c r="O2" t="s">
        <v>424</v>
      </c>
    </row>
    <row r="3" spans="1:15" x14ac:dyDescent="0.25">
      <c r="A3" s="93" t="s">
        <v>18</v>
      </c>
      <c r="B3" s="93" t="s">
        <v>344</v>
      </c>
      <c r="C3" s="93" t="s">
        <v>345</v>
      </c>
      <c r="D3" s="93" t="s">
        <v>8</v>
      </c>
      <c r="E3" s="93" t="s">
        <v>343</v>
      </c>
      <c r="F3" s="93" t="s">
        <v>168</v>
      </c>
      <c r="G3" s="93" t="s">
        <v>168</v>
      </c>
      <c r="H3">
        <v>10160</v>
      </c>
      <c r="I3" s="93" t="s">
        <v>346</v>
      </c>
      <c r="J3" s="95">
        <v>45501</v>
      </c>
      <c r="K3" s="95">
        <v>45594</v>
      </c>
      <c r="L3" s="95">
        <v>45515</v>
      </c>
      <c r="M3" s="93" t="s">
        <v>28</v>
      </c>
      <c r="N3" s="93" t="s">
        <v>228</v>
      </c>
      <c r="O3" t="s">
        <v>424</v>
      </c>
    </row>
    <row r="4" spans="1:15" x14ac:dyDescent="0.25">
      <c r="A4" s="93" t="s">
        <v>22</v>
      </c>
      <c r="B4" s="93" t="s">
        <v>344</v>
      </c>
      <c r="C4" s="93" t="s">
        <v>347</v>
      </c>
      <c r="D4" s="93" t="s">
        <v>8</v>
      </c>
      <c r="E4" s="93" t="s">
        <v>348</v>
      </c>
      <c r="F4" s="93" t="s">
        <v>170</v>
      </c>
      <c r="G4" s="93" t="s">
        <v>168</v>
      </c>
      <c r="H4">
        <v>11455</v>
      </c>
      <c r="I4" s="93" t="s">
        <v>349</v>
      </c>
      <c r="J4" s="95">
        <v>45500</v>
      </c>
      <c r="K4" s="95">
        <v>45594</v>
      </c>
      <c r="L4" s="95"/>
      <c r="M4" s="93" t="s">
        <v>37</v>
      </c>
      <c r="N4" s="93" t="s">
        <v>192</v>
      </c>
      <c r="O4" t="s">
        <v>337</v>
      </c>
    </row>
    <row r="5" spans="1:15" x14ac:dyDescent="0.25">
      <c r="A5" s="93" t="s">
        <v>25</v>
      </c>
      <c r="B5" s="93" t="s">
        <v>117</v>
      </c>
      <c r="C5" s="93" t="s">
        <v>117</v>
      </c>
      <c r="D5" s="93" t="s">
        <v>8</v>
      </c>
      <c r="E5" s="93" t="s">
        <v>350</v>
      </c>
      <c r="F5" s="93" t="s">
        <v>168</v>
      </c>
      <c r="G5" s="93" t="s">
        <v>218</v>
      </c>
      <c r="H5">
        <v>8642</v>
      </c>
      <c r="I5" s="93" t="s">
        <v>16</v>
      </c>
      <c r="J5" s="95">
        <v>45529</v>
      </c>
      <c r="K5" s="95">
        <v>45542</v>
      </c>
      <c r="L5" s="95">
        <v>45531</v>
      </c>
      <c r="M5" s="93" t="s">
        <v>28</v>
      </c>
      <c r="N5" s="93" t="s">
        <v>228</v>
      </c>
      <c r="O5" t="s">
        <v>424</v>
      </c>
    </row>
    <row r="6" spans="1:15" x14ac:dyDescent="0.25">
      <c r="A6" s="93" t="s">
        <v>29</v>
      </c>
      <c r="B6" s="93" t="s">
        <v>344</v>
      </c>
      <c r="C6" s="93" t="s">
        <v>347</v>
      </c>
      <c r="D6" s="93" t="s">
        <v>8</v>
      </c>
      <c r="E6" s="93" t="s">
        <v>348</v>
      </c>
      <c r="F6" s="93" t="s">
        <v>172</v>
      </c>
      <c r="G6" s="93" t="s">
        <v>168</v>
      </c>
      <c r="H6">
        <v>12833</v>
      </c>
      <c r="I6" s="93" t="s">
        <v>351</v>
      </c>
      <c r="J6" s="95">
        <v>45520</v>
      </c>
      <c r="K6" s="95">
        <v>45535</v>
      </c>
      <c r="L6" s="95"/>
      <c r="M6" s="93" t="s">
        <v>37</v>
      </c>
      <c r="N6" s="93" t="s">
        <v>192</v>
      </c>
      <c r="O6" t="s">
        <v>337</v>
      </c>
    </row>
    <row r="7" spans="1:15" x14ac:dyDescent="0.25">
      <c r="A7" s="93" t="s">
        <v>426</v>
      </c>
      <c r="B7" s="93" t="s">
        <v>341</v>
      </c>
      <c r="C7" s="93" t="s">
        <v>352</v>
      </c>
      <c r="D7" s="93" t="s">
        <v>8</v>
      </c>
      <c r="E7" s="93" t="s">
        <v>353</v>
      </c>
      <c r="F7" s="93" t="s">
        <v>334</v>
      </c>
      <c r="G7" s="93" t="s">
        <v>334</v>
      </c>
      <c r="H7">
        <v>14550</v>
      </c>
      <c r="I7" s="93" t="s">
        <v>16</v>
      </c>
      <c r="J7" s="95">
        <v>45518</v>
      </c>
      <c r="K7" s="95">
        <v>45538</v>
      </c>
      <c r="L7" s="95">
        <v>45540</v>
      </c>
      <c r="M7" s="93" t="s">
        <v>28</v>
      </c>
      <c r="N7" s="93" t="s">
        <v>228</v>
      </c>
      <c r="O7" t="s">
        <v>425</v>
      </c>
    </row>
    <row r="8" spans="1:15" x14ac:dyDescent="0.25">
      <c r="A8" s="93" t="s">
        <v>33</v>
      </c>
      <c r="B8" s="93" t="s">
        <v>354</v>
      </c>
      <c r="C8" s="93" t="s">
        <v>34</v>
      </c>
      <c r="D8" s="93" t="s">
        <v>282</v>
      </c>
      <c r="E8" s="93" t="s">
        <v>353</v>
      </c>
      <c r="F8" s="93" t="s">
        <v>334</v>
      </c>
      <c r="G8" s="93" t="s">
        <v>334</v>
      </c>
      <c r="H8">
        <v>12000</v>
      </c>
      <c r="I8" s="93" t="s">
        <v>355</v>
      </c>
      <c r="J8" s="95">
        <v>45521</v>
      </c>
      <c r="K8" s="95">
        <v>45524</v>
      </c>
      <c r="L8" s="95">
        <v>45523</v>
      </c>
      <c r="M8" s="93" t="s">
        <v>36</v>
      </c>
      <c r="N8" s="93" t="s">
        <v>228</v>
      </c>
      <c r="O8" t="s">
        <v>424</v>
      </c>
    </row>
    <row r="9" spans="1:15" x14ac:dyDescent="0.25">
      <c r="A9" s="93" t="s">
        <v>431</v>
      </c>
      <c r="B9" s="93" t="s">
        <v>341</v>
      </c>
      <c r="C9" s="93" t="s">
        <v>352</v>
      </c>
      <c r="D9" s="93" t="s">
        <v>8</v>
      </c>
      <c r="E9" s="93" t="s">
        <v>356</v>
      </c>
      <c r="F9" s="93" t="s">
        <v>167</v>
      </c>
      <c r="G9" s="93" t="s">
        <v>168</v>
      </c>
      <c r="H9">
        <v>7228</v>
      </c>
      <c r="I9" s="93" t="s">
        <v>16</v>
      </c>
      <c r="J9" s="95">
        <v>45529</v>
      </c>
      <c r="K9" s="95">
        <v>45538</v>
      </c>
      <c r="L9" s="95">
        <v>45545</v>
      </c>
      <c r="M9" s="93" t="s">
        <v>28</v>
      </c>
      <c r="N9" s="93" t="s">
        <v>228</v>
      </c>
      <c r="O9" t="s">
        <v>425</v>
      </c>
    </row>
    <row r="10" spans="1:15" x14ac:dyDescent="0.25">
      <c r="A10" s="93" t="s">
        <v>427</v>
      </c>
      <c r="B10" s="93" t="s">
        <v>354</v>
      </c>
      <c r="C10" s="93" t="s">
        <v>42</v>
      </c>
      <c r="D10" s="93" t="s">
        <v>43</v>
      </c>
      <c r="E10" s="93" t="s">
        <v>160</v>
      </c>
      <c r="F10" s="93" t="s">
        <v>168</v>
      </c>
      <c r="G10" s="93" t="s">
        <v>336</v>
      </c>
      <c r="H10">
        <v>22000</v>
      </c>
      <c r="I10" s="93" t="s">
        <v>357</v>
      </c>
      <c r="J10" s="95">
        <v>45523</v>
      </c>
      <c r="K10" s="95">
        <v>45536</v>
      </c>
      <c r="L10" s="95">
        <v>45552</v>
      </c>
      <c r="M10" s="93" t="s">
        <v>199</v>
      </c>
      <c r="N10" s="93" t="s">
        <v>228</v>
      </c>
      <c r="O10" t="s">
        <v>425</v>
      </c>
    </row>
    <row r="11" spans="1:15" x14ac:dyDescent="0.25">
      <c r="A11" s="93" t="s">
        <v>427</v>
      </c>
      <c r="B11" s="93" t="s">
        <v>354</v>
      </c>
      <c r="C11" s="93" t="s">
        <v>42</v>
      </c>
      <c r="D11" s="93" t="s">
        <v>43</v>
      </c>
      <c r="E11" s="93" t="s">
        <v>358</v>
      </c>
      <c r="F11" s="93" t="s">
        <v>168</v>
      </c>
      <c r="G11" s="93" t="s">
        <v>334</v>
      </c>
      <c r="H11">
        <v>16000</v>
      </c>
      <c r="I11" s="93" t="s">
        <v>359</v>
      </c>
      <c r="J11" s="95">
        <v>45894</v>
      </c>
      <c r="K11" s="95">
        <v>45915</v>
      </c>
      <c r="L11" s="95"/>
      <c r="M11" s="93" t="s">
        <v>109</v>
      </c>
      <c r="N11" s="93" t="s">
        <v>236</v>
      </c>
      <c r="O11" t="s">
        <v>337</v>
      </c>
    </row>
    <row r="12" spans="1:15" x14ac:dyDescent="0.25">
      <c r="A12" s="93" t="s">
        <v>427</v>
      </c>
      <c r="B12" s="93" t="s">
        <v>354</v>
      </c>
      <c r="C12" s="93" t="s">
        <v>42</v>
      </c>
      <c r="D12" s="93" t="s">
        <v>43</v>
      </c>
      <c r="E12" s="93" t="s">
        <v>358</v>
      </c>
      <c r="F12" s="93" t="s">
        <v>168</v>
      </c>
      <c r="G12" s="93" t="s">
        <v>334</v>
      </c>
      <c r="H12">
        <v>6000</v>
      </c>
      <c r="I12" s="93" t="s">
        <v>355</v>
      </c>
      <c r="J12" s="95">
        <v>45529</v>
      </c>
      <c r="K12" s="95">
        <v>45550</v>
      </c>
      <c r="L12" s="95">
        <v>45552</v>
      </c>
      <c r="M12" s="93" t="s">
        <v>199</v>
      </c>
      <c r="N12" s="93" t="s">
        <v>228</v>
      </c>
      <c r="O12" t="s">
        <v>425</v>
      </c>
    </row>
    <row r="13" spans="1:15" x14ac:dyDescent="0.25">
      <c r="A13" s="93" t="s">
        <v>427</v>
      </c>
      <c r="B13" s="93" t="s">
        <v>354</v>
      </c>
      <c r="C13" s="93" t="s">
        <v>42</v>
      </c>
      <c r="D13" s="93" t="s">
        <v>43</v>
      </c>
      <c r="E13" s="93" t="s">
        <v>358</v>
      </c>
      <c r="F13" s="93" t="s">
        <v>168</v>
      </c>
      <c r="G13" s="93" t="s">
        <v>334</v>
      </c>
      <c r="H13">
        <v>6000</v>
      </c>
      <c r="I13" s="93" t="s">
        <v>355</v>
      </c>
      <c r="J13" s="95">
        <v>45529</v>
      </c>
      <c r="K13" s="95">
        <v>45550</v>
      </c>
      <c r="L13" s="95">
        <v>45552</v>
      </c>
      <c r="M13" s="93" t="s">
        <v>199</v>
      </c>
      <c r="N13" s="93" t="s">
        <v>228</v>
      </c>
      <c r="O13" t="s">
        <v>425</v>
      </c>
    </row>
    <row r="14" spans="1:15" x14ac:dyDescent="0.25">
      <c r="A14" s="93" t="s">
        <v>48</v>
      </c>
      <c r="B14" s="93" t="s">
        <v>354</v>
      </c>
      <c r="C14" s="93" t="s">
        <v>360</v>
      </c>
      <c r="D14" s="93" t="s">
        <v>8</v>
      </c>
      <c r="E14" s="93" t="s">
        <v>348</v>
      </c>
      <c r="F14" s="93" t="s">
        <v>167</v>
      </c>
      <c r="G14" s="93" t="s">
        <v>168</v>
      </c>
      <c r="H14">
        <v>10499</v>
      </c>
      <c r="I14" s="93" t="s">
        <v>361</v>
      </c>
      <c r="J14" s="95">
        <v>45536</v>
      </c>
      <c r="K14" s="95">
        <v>45551</v>
      </c>
      <c r="L14" s="95">
        <v>45543</v>
      </c>
      <c r="M14" s="93" t="s">
        <v>28</v>
      </c>
      <c r="N14" s="93" t="s">
        <v>228</v>
      </c>
      <c r="O14" t="s">
        <v>424</v>
      </c>
    </row>
    <row r="15" spans="1:15" x14ac:dyDescent="0.25">
      <c r="A15" s="93" t="s">
        <v>65</v>
      </c>
      <c r="B15" s="93" t="s">
        <v>341</v>
      </c>
      <c r="C15" s="93" t="s">
        <v>352</v>
      </c>
      <c r="D15" s="93" t="s">
        <v>8</v>
      </c>
      <c r="E15" s="93" t="s">
        <v>356</v>
      </c>
      <c r="F15" s="93" t="s">
        <v>167</v>
      </c>
      <c r="G15" s="93" t="s">
        <v>168</v>
      </c>
      <c r="H15">
        <v>7295</v>
      </c>
      <c r="I15" s="93" t="s">
        <v>362</v>
      </c>
      <c r="J15" s="95">
        <v>45540</v>
      </c>
      <c r="K15" s="95">
        <v>45549</v>
      </c>
      <c r="L15" s="95"/>
      <c r="M15" s="93" t="s">
        <v>337</v>
      </c>
      <c r="N15" s="93" t="s">
        <v>236</v>
      </c>
      <c r="O15" t="s">
        <v>337</v>
      </c>
    </row>
    <row r="16" spans="1:15" x14ac:dyDescent="0.25">
      <c r="A16" s="93" t="s">
        <v>61</v>
      </c>
      <c r="B16" s="93" t="s">
        <v>354</v>
      </c>
      <c r="C16" s="93" t="s">
        <v>363</v>
      </c>
      <c r="D16" s="93" t="s">
        <v>8</v>
      </c>
      <c r="E16" s="93" t="s">
        <v>364</v>
      </c>
      <c r="F16" s="93" t="s">
        <v>168</v>
      </c>
      <c r="G16" s="93" t="s">
        <v>218</v>
      </c>
      <c r="H16">
        <v>7849</v>
      </c>
      <c r="I16" s="93" t="s">
        <v>16</v>
      </c>
      <c r="J16" s="95">
        <v>45539</v>
      </c>
      <c r="K16" s="95">
        <v>45551</v>
      </c>
      <c r="L16" s="95">
        <v>45560</v>
      </c>
      <c r="M16" s="93" t="s">
        <v>28</v>
      </c>
      <c r="N16" s="93" t="s">
        <v>208</v>
      </c>
      <c r="O16" t="s">
        <v>425</v>
      </c>
    </row>
    <row r="17" spans="1:15" x14ac:dyDescent="0.25">
      <c r="A17" s="93" t="s">
        <v>54</v>
      </c>
      <c r="B17" s="93" t="s">
        <v>354</v>
      </c>
      <c r="C17" s="93" t="s">
        <v>34</v>
      </c>
      <c r="D17" s="93" t="s">
        <v>56</v>
      </c>
      <c r="E17" s="93" t="s">
        <v>348</v>
      </c>
      <c r="F17" s="93" t="s">
        <v>168</v>
      </c>
      <c r="G17" s="93" t="s">
        <v>168</v>
      </c>
      <c r="H17">
        <v>6180</v>
      </c>
      <c r="I17" s="93" t="s">
        <v>365</v>
      </c>
      <c r="J17" s="95">
        <v>45538</v>
      </c>
      <c r="K17" s="95">
        <v>45551</v>
      </c>
      <c r="L17" s="95">
        <v>45550</v>
      </c>
      <c r="M17" s="93" t="s">
        <v>199</v>
      </c>
      <c r="N17" s="93" t="s">
        <v>228</v>
      </c>
      <c r="O17" t="s">
        <v>424</v>
      </c>
    </row>
    <row r="18" spans="1:15" x14ac:dyDescent="0.25">
      <c r="A18" s="93" t="s">
        <v>54</v>
      </c>
      <c r="B18" s="93" t="s">
        <v>354</v>
      </c>
      <c r="C18" s="93" t="s">
        <v>34</v>
      </c>
      <c r="D18" s="93" t="s">
        <v>56</v>
      </c>
      <c r="E18" s="93" t="s">
        <v>348</v>
      </c>
      <c r="F18" s="93" t="s">
        <v>168</v>
      </c>
      <c r="G18" s="93" t="s">
        <v>168</v>
      </c>
      <c r="H18">
        <v>6180</v>
      </c>
      <c r="I18" s="93" t="s">
        <v>365</v>
      </c>
      <c r="J18" s="95">
        <v>45538</v>
      </c>
      <c r="K18" s="95">
        <v>45551</v>
      </c>
      <c r="L18" s="95">
        <v>45550</v>
      </c>
      <c r="M18" s="93" t="s">
        <v>199</v>
      </c>
      <c r="N18" s="93" t="s">
        <v>228</v>
      </c>
      <c r="O18" t="s">
        <v>424</v>
      </c>
    </row>
    <row r="19" spans="1:15" x14ac:dyDescent="0.25">
      <c r="A19" s="93" t="s">
        <v>428</v>
      </c>
      <c r="B19" s="93" t="s">
        <v>354</v>
      </c>
      <c r="C19" s="93" t="s">
        <v>366</v>
      </c>
      <c r="D19" s="93" t="s">
        <v>8</v>
      </c>
      <c r="E19" s="93" t="s">
        <v>348</v>
      </c>
      <c r="F19" s="93" t="s">
        <v>167</v>
      </c>
      <c r="G19" s="93" t="s">
        <v>168</v>
      </c>
      <c r="H19">
        <v>11199</v>
      </c>
      <c r="I19" s="93" t="s">
        <v>367</v>
      </c>
      <c r="J19" s="95">
        <v>45539</v>
      </c>
      <c r="K19" s="95">
        <v>45553</v>
      </c>
      <c r="L19" s="95"/>
      <c r="M19" s="93" t="s">
        <v>337</v>
      </c>
      <c r="N19" s="93" t="s">
        <v>236</v>
      </c>
      <c r="O19" t="s">
        <v>337</v>
      </c>
    </row>
    <row r="20" spans="1:15" x14ac:dyDescent="0.25">
      <c r="A20" s="93" t="s">
        <v>33</v>
      </c>
      <c r="B20" s="93" t="s">
        <v>354</v>
      </c>
      <c r="C20" s="93" t="s">
        <v>67</v>
      </c>
      <c r="D20" s="93" t="s">
        <v>8</v>
      </c>
      <c r="E20" s="93" t="s">
        <v>356</v>
      </c>
      <c r="F20" s="93" t="s">
        <v>167</v>
      </c>
      <c r="G20" s="93" t="s">
        <v>168</v>
      </c>
      <c r="H20">
        <v>7987</v>
      </c>
      <c r="I20" s="93" t="s">
        <v>16</v>
      </c>
      <c r="J20" s="95">
        <v>45541</v>
      </c>
      <c r="K20" s="95">
        <v>45551</v>
      </c>
      <c r="L20" s="95">
        <v>45556</v>
      </c>
      <c r="M20" s="93" t="s">
        <v>199</v>
      </c>
      <c r="N20" s="93" t="s">
        <v>228</v>
      </c>
      <c r="O20" t="s">
        <v>425</v>
      </c>
    </row>
    <row r="21" spans="1:15" x14ac:dyDescent="0.25">
      <c r="A21" s="93" t="s">
        <v>427</v>
      </c>
      <c r="B21" s="93" t="s">
        <v>354</v>
      </c>
      <c r="C21" s="93" t="s">
        <v>42</v>
      </c>
      <c r="D21" s="93" t="s">
        <v>43</v>
      </c>
      <c r="E21" s="93" t="s">
        <v>368</v>
      </c>
      <c r="F21" s="93" t="s">
        <v>168</v>
      </c>
      <c r="G21" s="93" t="s">
        <v>218</v>
      </c>
      <c r="H21">
        <v>9300</v>
      </c>
      <c r="I21" s="93" t="s">
        <v>369</v>
      </c>
      <c r="J21" s="95">
        <v>45539</v>
      </c>
      <c r="K21" s="95">
        <v>45550</v>
      </c>
      <c r="L21" s="95">
        <v>45552</v>
      </c>
      <c r="M21" s="93" t="s">
        <v>199</v>
      </c>
      <c r="N21" s="93" t="s">
        <v>228</v>
      </c>
      <c r="O21" t="s">
        <v>425</v>
      </c>
    </row>
    <row r="22" spans="1:15" x14ac:dyDescent="0.25">
      <c r="A22" s="93" t="s">
        <v>33</v>
      </c>
      <c r="B22" s="93" t="s">
        <v>354</v>
      </c>
      <c r="C22" s="93" t="s">
        <v>67</v>
      </c>
      <c r="D22" s="93" t="s">
        <v>8</v>
      </c>
      <c r="E22" s="93" t="s">
        <v>356</v>
      </c>
      <c r="F22" s="93" t="s">
        <v>167</v>
      </c>
      <c r="G22" s="93" t="s">
        <v>168</v>
      </c>
      <c r="H22">
        <v>7987</v>
      </c>
      <c r="I22" s="93" t="s">
        <v>16</v>
      </c>
      <c r="J22" s="95">
        <v>45541</v>
      </c>
      <c r="K22" s="95">
        <v>45551</v>
      </c>
      <c r="L22" s="95">
        <v>45556</v>
      </c>
      <c r="M22" s="93" t="s">
        <v>199</v>
      </c>
      <c r="N22" s="93" t="s">
        <v>228</v>
      </c>
      <c r="O22" t="s">
        <v>425</v>
      </c>
    </row>
    <row r="23" spans="1:15" x14ac:dyDescent="0.25">
      <c r="A23" s="93" t="s">
        <v>33</v>
      </c>
      <c r="B23" s="93" t="s">
        <v>354</v>
      </c>
      <c r="C23" s="93" t="s">
        <v>67</v>
      </c>
      <c r="D23" s="93" t="s">
        <v>8</v>
      </c>
      <c r="E23" s="93" t="s">
        <v>356</v>
      </c>
      <c r="F23" s="93" t="s">
        <v>167</v>
      </c>
      <c r="G23" s="93" t="s">
        <v>168</v>
      </c>
      <c r="H23">
        <v>7987</v>
      </c>
      <c r="I23" s="93" t="s">
        <v>16</v>
      </c>
      <c r="J23" s="95">
        <v>45541</v>
      </c>
      <c r="K23" s="95">
        <v>45551</v>
      </c>
      <c r="L23" s="95">
        <v>45556</v>
      </c>
      <c r="M23" s="93" t="s">
        <v>199</v>
      </c>
      <c r="N23" s="93" t="s">
        <v>228</v>
      </c>
      <c r="O23" t="s">
        <v>425</v>
      </c>
    </row>
    <row r="24" spans="1:15" x14ac:dyDescent="0.25">
      <c r="A24" s="93" t="s">
        <v>33</v>
      </c>
      <c r="B24" s="93" t="s">
        <v>354</v>
      </c>
      <c r="C24" s="93" t="s">
        <v>67</v>
      </c>
      <c r="D24" s="93" t="s">
        <v>8</v>
      </c>
      <c r="E24" s="93" t="s">
        <v>356</v>
      </c>
      <c r="F24" s="93" t="s">
        <v>167</v>
      </c>
      <c r="G24" s="93" t="s">
        <v>168</v>
      </c>
      <c r="H24">
        <v>7987</v>
      </c>
      <c r="I24" s="93" t="s">
        <v>16</v>
      </c>
      <c r="J24" s="95">
        <v>45541</v>
      </c>
      <c r="K24" s="95">
        <v>45551</v>
      </c>
      <c r="L24" s="95">
        <v>45556</v>
      </c>
      <c r="M24" s="93" t="s">
        <v>199</v>
      </c>
      <c r="N24" s="93" t="s">
        <v>228</v>
      </c>
      <c r="O24" t="s">
        <v>425</v>
      </c>
    </row>
    <row r="25" spans="1:15" x14ac:dyDescent="0.25">
      <c r="A25" s="93" t="s">
        <v>106</v>
      </c>
      <c r="B25" s="93" t="s">
        <v>354</v>
      </c>
      <c r="C25" s="93" t="s">
        <v>370</v>
      </c>
      <c r="D25" s="93" t="s">
        <v>8</v>
      </c>
      <c r="E25" s="93" t="s">
        <v>364</v>
      </c>
      <c r="F25" s="93" t="s">
        <v>168</v>
      </c>
      <c r="G25" s="93" t="s">
        <v>218</v>
      </c>
      <c r="H25">
        <v>8849</v>
      </c>
      <c r="I25" s="93" t="s">
        <v>16</v>
      </c>
      <c r="J25" s="95">
        <v>45538</v>
      </c>
      <c r="K25" s="95">
        <v>45581</v>
      </c>
      <c r="L25" s="95"/>
      <c r="M25" s="93" t="s">
        <v>337</v>
      </c>
      <c r="N25" s="93" t="s">
        <v>236</v>
      </c>
      <c r="O25" t="s">
        <v>337</v>
      </c>
    </row>
    <row r="26" spans="1:15" x14ac:dyDescent="0.25">
      <c r="A26" s="93" t="s">
        <v>69</v>
      </c>
      <c r="B26" s="93" t="s">
        <v>341</v>
      </c>
      <c r="C26" s="93" t="s">
        <v>352</v>
      </c>
      <c r="D26" s="93" t="s">
        <v>8</v>
      </c>
      <c r="E26" s="93" t="s">
        <v>356</v>
      </c>
      <c r="F26" s="93" t="s">
        <v>167</v>
      </c>
      <c r="G26" s="93" t="s">
        <v>168</v>
      </c>
      <c r="H26">
        <v>10987</v>
      </c>
      <c r="I26" s="93" t="s">
        <v>16</v>
      </c>
      <c r="J26" s="95">
        <v>45544</v>
      </c>
      <c r="K26" s="95">
        <v>45552</v>
      </c>
      <c r="L26" s="95">
        <v>45556</v>
      </c>
      <c r="M26" s="93" t="s">
        <v>199</v>
      </c>
      <c r="N26" s="93" t="s">
        <v>228</v>
      </c>
      <c r="O26" t="s">
        <v>425</v>
      </c>
    </row>
    <row r="27" spans="1:15" x14ac:dyDescent="0.25">
      <c r="A27" s="93" t="s">
        <v>426</v>
      </c>
      <c r="B27" s="93" t="s">
        <v>341</v>
      </c>
      <c r="C27" s="93" t="s">
        <v>352</v>
      </c>
      <c r="D27" s="93" t="s">
        <v>8</v>
      </c>
      <c r="E27" s="93" t="s">
        <v>348</v>
      </c>
      <c r="F27" s="93" t="s">
        <v>167</v>
      </c>
      <c r="G27" s="93" t="s">
        <v>168</v>
      </c>
      <c r="H27">
        <v>9208</v>
      </c>
      <c r="I27" s="93" t="s">
        <v>371</v>
      </c>
      <c r="J27" s="95">
        <v>45536</v>
      </c>
      <c r="K27" s="95">
        <v>45554</v>
      </c>
      <c r="L27" s="95">
        <v>45556</v>
      </c>
      <c r="M27" s="93" t="s">
        <v>199</v>
      </c>
      <c r="N27" s="93" t="s">
        <v>228</v>
      </c>
      <c r="O27" t="s">
        <v>425</v>
      </c>
    </row>
    <row r="28" spans="1:15" x14ac:dyDescent="0.25">
      <c r="A28" s="93" t="s">
        <v>426</v>
      </c>
      <c r="B28" s="93" t="s">
        <v>341</v>
      </c>
      <c r="C28" s="93" t="s">
        <v>352</v>
      </c>
      <c r="D28" s="93" t="s">
        <v>8</v>
      </c>
      <c r="E28" s="93" t="s">
        <v>348</v>
      </c>
      <c r="F28" s="93" t="s">
        <v>168</v>
      </c>
      <c r="G28" s="93" t="s">
        <v>168</v>
      </c>
      <c r="H28">
        <v>9208</v>
      </c>
      <c r="I28" s="93" t="s">
        <v>372</v>
      </c>
      <c r="J28" s="95">
        <v>45536</v>
      </c>
      <c r="K28" s="95">
        <v>45554</v>
      </c>
      <c r="L28" s="95">
        <v>45556</v>
      </c>
      <c r="M28" s="93" t="s">
        <v>199</v>
      </c>
      <c r="N28" s="93" t="s">
        <v>228</v>
      </c>
      <c r="O28" t="s">
        <v>425</v>
      </c>
    </row>
    <row r="29" spans="1:15" x14ac:dyDescent="0.25">
      <c r="A29" s="93" t="s">
        <v>83</v>
      </c>
      <c r="B29" s="93" t="s">
        <v>373</v>
      </c>
      <c r="C29" s="93" t="s">
        <v>374</v>
      </c>
      <c r="D29" s="93" t="s">
        <v>56</v>
      </c>
      <c r="E29" s="93" t="s">
        <v>356</v>
      </c>
      <c r="F29" s="93" t="s">
        <v>167</v>
      </c>
      <c r="G29" s="93" t="s">
        <v>168</v>
      </c>
      <c r="H29">
        <v>4020</v>
      </c>
      <c r="I29" s="93" t="s">
        <v>85</v>
      </c>
      <c r="J29" s="95">
        <v>45547</v>
      </c>
      <c r="K29" s="95">
        <v>45556</v>
      </c>
      <c r="L29" s="95">
        <v>45557</v>
      </c>
      <c r="M29" s="93" t="s">
        <v>199</v>
      </c>
      <c r="N29" s="93" t="s">
        <v>228</v>
      </c>
      <c r="O29" t="s">
        <v>425</v>
      </c>
    </row>
    <row r="30" spans="1:15" x14ac:dyDescent="0.25">
      <c r="A30" s="93" t="s">
        <v>83</v>
      </c>
      <c r="B30" s="93" t="s">
        <v>373</v>
      </c>
      <c r="C30" s="93" t="s">
        <v>374</v>
      </c>
      <c r="D30" s="93" t="s">
        <v>56</v>
      </c>
      <c r="E30" s="93" t="s">
        <v>356</v>
      </c>
      <c r="F30" s="93" t="s">
        <v>167</v>
      </c>
      <c r="G30" s="93" t="s">
        <v>168</v>
      </c>
      <c r="H30">
        <v>4020</v>
      </c>
      <c r="I30" s="93" t="s">
        <v>85</v>
      </c>
      <c r="J30" s="95">
        <v>45547</v>
      </c>
      <c r="K30" s="95">
        <v>45556</v>
      </c>
      <c r="L30" s="95">
        <v>45557</v>
      </c>
      <c r="M30" s="93" t="s">
        <v>199</v>
      </c>
      <c r="N30" s="93" t="s">
        <v>228</v>
      </c>
      <c r="O30" t="s">
        <v>425</v>
      </c>
    </row>
    <row r="31" spans="1:15" x14ac:dyDescent="0.25">
      <c r="A31" s="93" t="s">
        <v>83</v>
      </c>
      <c r="B31" s="93" t="s">
        <v>373</v>
      </c>
      <c r="C31" s="93" t="s">
        <v>374</v>
      </c>
      <c r="D31" s="93" t="s">
        <v>56</v>
      </c>
      <c r="E31" s="93" t="s">
        <v>356</v>
      </c>
      <c r="F31" s="93" t="s">
        <v>168</v>
      </c>
      <c r="G31" s="93" t="s">
        <v>168</v>
      </c>
      <c r="H31">
        <v>4020</v>
      </c>
      <c r="I31" s="93" t="s">
        <v>115</v>
      </c>
      <c r="J31" s="95">
        <v>45547</v>
      </c>
      <c r="K31" s="95">
        <v>45556</v>
      </c>
      <c r="L31" s="95">
        <v>45557</v>
      </c>
      <c r="M31" s="93" t="s">
        <v>199</v>
      </c>
      <c r="N31" s="93" t="s">
        <v>228</v>
      </c>
      <c r="O31" t="s">
        <v>425</v>
      </c>
    </row>
    <row r="32" spans="1:15" x14ac:dyDescent="0.25">
      <c r="A32" s="93" t="s">
        <v>83</v>
      </c>
      <c r="B32" s="93" t="s">
        <v>373</v>
      </c>
      <c r="C32" s="93" t="s">
        <v>374</v>
      </c>
      <c r="D32" s="93" t="s">
        <v>56</v>
      </c>
      <c r="E32" s="93" t="s">
        <v>356</v>
      </c>
      <c r="F32" s="93" t="s">
        <v>168</v>
      </c>
      <c r="G32" s="93" t="s">
        <v>168</v>
      </c>
      <c r="H32">
        <v>4020</v>
      </c>
      <c r="I32" s="93" t="s">
        <v>115</v>
      </c>
      <c r="J32" s="95">
        <v>45547</v>
      </c>
      <c r="K32" s="95">
        <v>45556</v>
      </c>
      <c r="L32" s="95">
        <v>45557</v>
      </c>
      <c r="M32" s="93" t="s">
        <v>199</v>
      </c>
      <c r="N32" s="93" t="s">
        <v>228</v>
      </c>
      <c r="O32" t="s">
        <v>425</v>
      </c>
    </row>
    <row r="33" spans="1:15" x14ac:dyDescent="0.25">
      <c r="A33" s="93" t="s">
        <v>143</v>
      </c>
      <c r="B33" s="93" t="s">
        <v>212</v>
      </c>
      <c r="C33" s="93" t="s">
        <v>144</v>
      </c>
      <c r="D33" s="93" t="s">
        <v>8</v>
      </c>
      <c r="E33" s="93" t="s">
        <v>343</v>
      </c>
      <c r="F33" s="93" t="s">
        <v>168</v>
      </c>
      <c r="G33" s="93" t="s">
        <v>168</v>
      </c>
      <c r="H33">
        <v>9399</v>
      </c>
      <c r="I33" s="93" t="s">
        <v>115</v>
      </c>
      <c r="J33" s="95">
        <v>45549</v>
      </c>
      <c r="K33" s="95">
        <v>45557</v>
      </c>
      <c r="L33" s="95">
        <v>45594</v>
      </c>
      <c r="M33" s="93" t="s">
        <v>37</v>
      </c>
      <c r="N33" s="93" t="s">
        <v>192</v>
      </c>
      <c r="O33" t="s">
        <v>425</v>
      </c>
    </row>
    <row r="34" spans="1:15" x14ac:dyDescent="0.25">
      <c r="A34" s="93" t="s">
        <v>147</v>
      </c>
      <c r="B34" s="93" t="s">
        <v>344</v>
      </c>
      <c r="C34" s="93" t="s">
        <v>375</v>
      </c>
      <c r="D34" s="93" t="s">
        <v>8</v>
      </c>
      <c r="E34" s="93" t="s">
        <v>376</v>
      </c>
      <c r="F34" s="93" t="s">
        <v>168</v>
      </c>
      <c r="G34" s="93" t="s">
        <v>335</v>
      </c>
      <c r="H34">
        <v>8349</v>
      </c>
      <c r="I34" s="93" t="s">
        <v>115</v>
      </c>
      <c r="J34" s="95">
        <v>45549</v>
      </c>
      <c r="K34" s="95">
        <v>45557</v>
      </c>
      <c r="L34" s="95">
        <v>45559</v>
      </c>
      <c r="M34" s="93" t="s">
        <v>28</v>
      </c>
      <c r="N34" s="93" t="s">
        <v>228</v>
      </c>
      <c r="O34" t="s">
        <v>425</v>
      </c>
    </row>
    <row r="35" spans="1:15" x14ac:dyDescent="0.25">
      <c r="A35" s="93" t="s">
        <v>104</v>
      </c>
      <c r="B35" s="93" t="s">
        <v>341</v>
      </c>
      <c r="C35" s="93" t="s">
        <v>352</v>
      </c>
      <c r="D35" s="93" t="s">
        <v>8</v>
      </c>
      <c r="E35" s="93" t="s">
        <v>343</v>
      </c>
      <c r="F35" s="93" t="s">
        <v>168</v>
      </c>
      <c r="G35" s="93" t="s">
        <v>168</v>
      </c>
      <c r="H35">
        <v>9399</v>
      </c>
      <c r="I35" s="93" t="s">
        <v>16</v>
      </c>
      <c r="J35" s="95">
        <v>45548</v>
      </c>
      <c r="K35" s="95">
        <v>45559</v>
      </c>
      <c r="L35" s="95">
        <v>45594</v>
      </c>
      <c r="M35" s="93" t="s">
        <v>28</v>
      </c>
      <c r="N35" s="93" t="s">
        <v>228</v>
      </c>
      <c r="O35" t="s">
        <v>425</v>
      </c>
    </row>
    <row r="36" spans="1:15" x14ac:dyDescent="0.25">
      <c r="A36" s="93" t="s">
        <v>71</v>
      </c>
      <c r="B36" s="93" t="s">
        <v>354</v>
      </c>
      <c r="C36" s="93" t="s">
        <v>310</v>
      </c>
      <c r="D36" s="93" t="s">
        <v>8</v>
      </c>
      <c r="E36" s="93" t="s">
        <v>364</v>
      </c>
      <c r="F36" s="93" t="s">
        <v>168</v>
      </c>
      <c r="G36" s="93" t="s">
        <v>218</v>
      </c>
      <c r="H36">
        <v>7849</v>
      </c>
      <c r="I36" s="93" t="s">
        <v>377</v>
      </c>
      <c r="J36" s="95">
        <v>45547</v>
      </c>
      <c r="K36" s="95">
        <v>45561</v>
      </c>
      <c r="L36" s="95">
        <v>45594</v>
      </c>
      <c r="M36" s="93" t="s">
        <v>28</v>
      </c>
      <c r="N36" s="93" t="s">
        <v>228</v>
      </c>
      <c r="O36" t="s">
        <v>425</v>
      </c>
    </row>
    <row r="37" spans="1:15" x14ac:dyDescent="0.25">
      <c r="A37" s="93" t="s">
        <v>79</v>
      </c>
      <c r="B37" s="93" t="s">
        <v>341</v>
      </c>
      <c r="C37" s="93" t="s">
        <v>378</v>
      </c>
      <c r="D37" s="93" t="s">
        <v>282</v>
      </c>
      <c r="E37" s="93" t="s">
        <v>379</v>
      </c>
      <c r="F37" s="93" t="s">
        <v>168</v>
      </c>
      <c r="G37" s="93" t="s">
        <v>168</v>
      </c>
      <c r="H37">
        <v>9450</v>
      </c>
      <c r="I37" s="93" t="s">
        <v>380</v>
      </c>
      <c r="J37" s="95">
        <v>45547</v>
      </c>
      <c r="K37" s="95">
        <v>45561</v>
      </c>
      <c r="L37" s="95"/>
      <c r="M37" s="93" t="s">
        <v>337</v>
      </c>
      <c r="N37" s="93" t="s">
        <v>236</v>
      </c>
      <c r="O37" t="s">
        <v>337</v>
      </c>
    </row>
    <row r="38" spans="1:15" x14ac:dyDescent="0.25">
      <c r="A38" s="93" t="s">
        <v>95</v>
      </c>
      <c r="B38" s="93" t="s">
        <v>354</v>
      </c>
      <c r="C38" s="93" t="s">
        <v>67</v>
      </c>
      <c r="D38" s="93" t="s">
        <v>8</v>
      </c>
      <c r="E38" s="93" t="s">
        <v>356</v>
      </c>
      <c r="F38" s="93" t="s">
        <v>168</v>
      </c>
      <c r="G38" s="93" t="s">
        <v>168</v>
      </c>
      <c r="H38">
        <v>7460</v>
      </c>
      <c r="I38" s="93" t="s">
        <v>16</v>
      </c>
      <c r="J38" s="95">
        <v>45548</v>
      </c>
      <c r="K38" s="95">
        <v>45561</v>
      </c>
      <c r="L38" s="95">
        <v>45568</v>
      </c>
      <c r="M38" s="93" t="s">
        <v>199</v>
      </c>
      <c r="N38" s="93" t="s">
        <v>228</v>
      </c>
      <c r="O38" t="s">
        <v>425</v>
      </c>
    </row>
    <row r="39" spans="1:15" x14ac:dyDescent="0.25">
      <c r="A39" s="93" t="s">
        <v>99</v>
      </c>
      <c r="B39" s="93" t="s">
        <v>354</v>
      </c>
      <c r="C39" s="93" t="s">
        <v>67</v>
      </c>
      <c r="D39" s="93" t="s">
        <v>8</v>
      </c>
      <c r="E39" s="93" t="s">
        <v>356</v>
      </c>
      <c r="F39" s="93" t="s">
        <v>381</v>
      </c>
      <c r="G39" s="93" t="s">
        <v>172</v>
      </c>
      <c r="H39">
        <v>9528</v>
      </c>
      <c r="I39" s="93" t="s">
        <v>16</v>
      </c>
      <c r="J39" s="95">
        <v>45548</v>
      </c>
      <c r="K39" s="95">
        <v>45561</v>
      </c>
      <c r="L39" s="95">
        <v>45568</v>
      </c>
      <c r="M39" s="93" t="s">
        <v>199</v>
      </c>
      <c r="N39" s="93" t="s">
        <v>228</v>
      </c>
      <c r="O39" t="s">
        <v>425</v>
      </c>
    </row>
    <row r="40" spans="1:15" x14ac:dyDescent="0.25">
      <c r="A40" s="93" t="s">
        <v>141</v>
      </c>
      <c r="B40" s="93" t="s">
        <v>341</v>
      </c>
      <c r="C40" s="93" t="s">
        <v>352</v>
      </c>
      <c r="D40" s="93" t="s">
        <v>8</v>
      </c>
      <c r="E40" s="93" t="s">
        <v>348</v>
      </c>
      <c r="F40" s="93" t="s">
        <v>172</v>
      </c>
      <c r="G40" s="93" t="s">
        <v>168</v>
      </c>
      <c r="H40">
        <v>12999</v>
      </c>
      <c r="I40" s="93" t="s">
        <v>16</v>
      </c>
      <c r="J40" s="95">
        <v>45549</v>
      </c>
      <c r="K40" s="95">
        <v>45562</v>
      </c>
      <c r="L40" s="95">
        <v>45567</v>
      </c>
      <c r="M40" s="93" t="s">
        <v>199</v>
      </c>
      <c r="N40" s="93" t="s">
        <v>228</v>
      </c>
      <c r="O40" t="s">
        <v>425</v>
      </c>
    </row>
    <row r="41" spans="1:15" x14ac:dyDescent="0.25">
      <c r="A41" s="93" t="s">
        <v>73</v>
      </c>
      <c r="B41" s="93" t="s">
        <v>354</v>
      </c>
      <c r="C41" s="93" t="s">
        <v>382</v>
      </c>
      <c r="D41" s="93" t="s">
        <v>8</v>
      </c>
      <c r="E41" s="93" t="s">
        <v>348</v>
      </c>
      <c r="F41" s="93" t="s">
        <v>168</v>
      </c>
      <c r="G41" s="93" t="s">
        <v>168</v>
      </c>
      <c r="H41">
        <v>5999</v>
      </c>
      <c r="I41" s="93" t="s">
        <v>16</v>
      </c>
      <c r="J41" s="95">
        <v>45547</v>
      </c>
      <c r="K41" s="95">
        <v>45564</v>
      </c>
      <c r="L41" s="95"/>
      <c r="M41" s="93" t="s">
        <v>199</v>
      </c>
      <c r="N41" s="93" t="s">
        <v>198</v>
      </c>
      <c r="O41" t="s">
        <v>337</v>
      </c>
    </row>
    <row r="42" spans="1:15" x14ac:dyDescent="0.25">
      <c r="A42" s="93" t="s">
        <v>75</v>
      </c>
      <c r="B42" s="93" t="s">
        <v>354</v>
      </c>
      <c r="C42" s="93" t="s">
        <v>383</v>
      </c>
      <c r="D42" s="93" t="s">
        <v>8</v>
      </c>
      <c r="E42" s="93" t="s">
        <v>348</v>
      </c>
      <c r="F42" s="93" t="s">
        <v>168</v>
      </c>
      <c r="G42" s="93" t="s">
        <v>168</v>
      </c>
      <c r="H42">
        <v>11949</v>
      </c>
      <c r="I42" s="93" t="s">
        <v>384</v>
      </c>
      <c r="J42" s="95">
        <v>45547</v>
      </c>
      <c r="K42" s="95">
        <v>45564</v>
      </c>
      <c r="L42" s="95">
        <v>45567</v>
      </c>
      <c r="M42" s="93" t="s">
        <v>199</v>
      </c>
      <c r="N42" s="93" t="s">
        <v>228</v>
      </c>
      <c r="O42" t="s">
        <v>425</v>
      </c>
    </row>
    <row r="43" spans="1:15" x14ac:dyDescent="0.25">
      <c r="A43" s="93" t="s">
        <v>75</v>
      </c>
      <c r="B43" s="93" t="s">
        <v>354</v>
      </c>
      <c r="C43" s="93" t="s">
        <v>383</v>
      </c>
      <c r="D43" s="93" t="s">
        <v>8</v>
      </c>
      <c r="E43" s="93" t="s">
        <v>348</v>
      </c>
      <c r="F43" s="93" t="s">
        <v>168</v>
      </c>
      <c r="G43" s="93" t="s">
        <v>168</v>
      </c>
      <c r="H43">
        <v>11949</v>
      </c>
      <c r="I43" s="93" t="s">
        <v>384</v>
      </c>
      <c r="J43" s="95">
        <v>45547</v>
      </c>
      <c r="K43" s="95">
        <v>45564</v>
      </c>
      <c r="L43" s="95">
        <v>45567</v>
      </c>
      <c r="M43" s="93" t="s">
        <v>199</v>
      </c>
      <c r="N43" s="93" t="s">
        <v>228</v>
      </c>
      <c r="O43" t="s">
        <v>425</v>
      </c>
    </row>
    <row r="44" spans="1:15" x14ac:dyDescent="0.25">
      <c r="A44" s="93" t="s">
        <v>33</v>
      </c>
      <c r="B44" s="93" t="s">
        <v>354</v>
      </c>
      <c r="C44" s="93" t="s">
        <v>88</v>
      </c>
      <c r="D44" s="93" t="s">
        <v>8</v>
      </c>
      <c r="E44" s="93" t="s">
        <v>379</v>
      </c>
      <c r="F44" s="93" t="s">
        <v>167</v>
      </c>
      <c r="G44" s="93" t="s">
        <v>168</v>
      </c>
      <c r="H44">
        <v>16599</v>
      </c>
      <c r="I44" s="93" t="s">
        <v>16</v>
      </c>
      <c r="J44" s="95">
        <v>45548</v>
      </c>
      <c r="K44" s="95">
        <v>45565</v>
      </c>
      <c r="L44" s="95">
        <v>45568</v>
      </c>
      <c r="M44" s="93" t="s">
        <v>199</v>
      </c>
      <c r="N44" s="93" t="s">
        <v>228</v>
      </c>
      <c r="O44" t="s">
        <v>425</v>
      </c>
    </row>
    <row r="45" spans="1:15" x14ac:dyDescent="0.25">
      <c r="A45" s="93" t="s">
        <v>89</v>
      </c>
      <c r="B45" s="93" t="s">
        <v>117</v>
      </c>
      <c r="C45" s="93" t="s">
        <v>117</v>
      </c>
      <c r="D45" s="93" t="s">
        <v>8</v>
      </c>
      <c r="E45" s="93" t="s">
        <v>348</v>
      </c>
      <c r="F45" s="93" t="s">
        <v>167</v>
      </c>
      <c r="G45" s="93" t="s">
        <v>168</v>
      </c>
      <c r="H45">
        <v>10999</v>
      </c>
      <c r="I45" s="93" t="s">
        <v>16</v>
      </c>
      <c r="J45" s="95">
        <v>45548</v>
      </c>
      <c r="K45" s="95">
        <v>45565</v>
      </c>
      <c r="L45" s="95">
        <v>45581</v>
      </c>
      <c r="M45" s="93" t="s">
        <v>28</v>
      </c>
      <c r="N45" s="93" t="s">
        <v>228</v>
      </c>
      <c r="O45" t="s">
        <v>425</v>
      </c>
    </row>
    <row r="46" spans="1:15" x14ac:dyDescent="0.25">
      <c r="A46" s="93" t="s">
        <v>92</v>
      </c>
      <c r="B46" s="93" t="s">
        <v>212</v>
      </c>
      <c r="C46" s="93" t="s">
        <v>385</v>
      </c>
      <c r="D46" s="93" t="s">
        <v>8</v>
      </c>
      <c r="E46" s="93" t="s">
        <v>348</v>
      </c>
      <c r="F46" s="93" t="s">
        <v>170</v>
      </c>
      <c r="G46" s="93" t="s">
        <v>168</v>
      </c>
      <c r="H46">
        <v>13099</v>
      </c>
      <c r="I46" s="93" t="s">
        <v>16</v>
      </c>
      <c r="J46" s="95">
        <v>45548</v>
      </c>
      <c r="K46" s="95">
        <v>45565</v>
      </c>
      <c r="L46" s="95">
        <v>45568</v>
      </c>
      <c r="M46" s="93" t="s">
        <v>28</v>
      </c>
      <c r="N46" s="93" t="s">
        <v>228</v>
      </c>
      <c r="O46" t="s">
        <v>425</v>
      </c>
    </row>
    <row r="47" spans="1:15" x14ac:dyDescent="0.25">
      <c r="A47" s="93" t="s">
        <v>97</v>
      </c>
      <c r="B47" s="93" t="s">
        <v>341</v>
      </c>
      <c r="C47" s="93" t="s">
        <v>352</v>
      </c>
      <c r="D47" s="93" t="s">
        <v>8</v>
      </c>
      <c r="E47" s="93" t="s">
        <v>348</v>
      </c>
      <c r="F47" s="93" t="s">
        <v>173</v>
      </c>
      <c r="G47" s="93" t="s">
        <v>168</v>
      </c>
      <c r="H47">
        <v>13849</v>
      </c>
      <c r="I47" s="93" t="s">
        <v>16</v>
      </c>
      <c r="J47" s="95">
        <v>45548</v>
      </c>
      <c r="K47" s="95">
        <v>45565</v>
      </c>
      <c r="L47" s="95">
        <v>45585</v>
      </c>
      <c r="M47" s="93" t="s">
        <v>199</v>
      </c>
      <c r="N47" s="93" t="s">
        <v>228</v>
      </c>
      <c r="O47" t="s">
        <v>425</v>
      </c>
    </row>
    <row r="48" spans="1:15" x14ac:dyDescent="0.25">
      <c r="A48" s="93" t="s">
        <v>101</v>
      </c>
      <c r="B48" s="93" t="s">
        <v>354</v>
      </c>
      <c r="C48" s="93" t="s">
        <v>67</v>
      </c>
      <c r="D48" s="93" t="s">
        <v>8</v>
      </c>
      <c r="E48" s="93" t="s">
        <v>353</v>
      </c>
      <c r="F48" s="93" t="s">
        <v>168</v>
      </c>
      <c r="G48" s="93" t="s">
        <v>172</v>
      </c>
      <c r="H48">
        <v>21999</v>
      </c>
      <c r="I48" s="93" t="s">
        <v>16</v>
      </c>
      <c r="J48" s="95">
        <v>45548</v>
      </c>
      <c r="K48" s="95">
        <v>45565</v>
      </c>
      <c r="L48" s="95">
        <v>45594</v>
      </c>
      <c r="M48" s="93" t="s">
        <v>199</v>
      </c>
      <c r="N48" s="93" t="s">
        <v>228</v>
      </c>
      <c r="O48" t="s">
        <v>425</v>
      </c>
    </row>
    <row r="49" spans="1:15" x14ac:dyDescent="0.25">
      <c r="A49" s="93" t="s">
        <v>108</v>
      </c>
      <c r="B49" s="93" t="s">
        <v>341</v>
      </c>
      <c r="C49" s="93" t="s">
        <v>352</v>
      </c>
      <c r="D49" s="93" t="s">
        <v>8</v>
      </c>
      <c r="E49" s="93" t="s">
        <v>348</v>
      </c>
      <c r="F49" s="93" t="s">
        <v>167</v>
      </c>
      <c r="G49" s="93" t="s">
        <v>168</v>
      </c>
      <c r="H49">
        <v>10999</v>
      </c>
      <c r="I49" s="93" t="s">
        <v>16</v>
      </c>
      <c r="J49" s="95">
        <v>45548</v>
      </c>
      <c r="K49" s="95">
        <v>45565</v>
      </c>
      <c r="L49" s="95">
        <v>45580</v>
      </c>
      <c r="M49" s="93" t="s">
        <v>199</v>
      </c>
      <c r="N49" s="93" t="s">
        <v>228</v>
      </c>
      <c r="O49" t="s">
        <v>425</v>
      </c>
    </row>
    <row r="50" spans="1:15" x14ac:dyDescent="0.25">
      <c r="A50" s="93" t="s">
        <v>110</v>
      </c>
      <c r="B50" s="93" t="s">
        <v>354</v>
      </c>
      <c r="C50" s="93" t="s">
        <v>370</v>
      </c>
      <c r="D50" s="93" t="s">
        <v>8</v>
      </c>
      <c r="E50" s="93" t="s">
        <v>379</v>
      </c>
      <c r="F50" s="93" t="s">
        <v>168</v>
      </c>
      <c r="G50" s="93" t="s">
        <v>168</v>
      </c>
      <c r="H50">
        <v>17249</v>
      </c>
      <c r="I50" s="93" t="s">
        <v>16</v>
      </c>
      <c r="J50" s="95">
        <v>45548</v>
      </c>
      <c r="K50" s="95">
        <v>45565</v>
      </c>
      <c r="L50" s="95">
        <v>45569</v>
      </c>
      <c r="M50" s="93" t="s">
        <v>199</v>
      </c>
      <c r="N50" s="93" t="s">
        <v>228</v>
      </c>
      <c r="O50" t="s">
        <v>425</v>
      </c>
    </row>
    <row r="51" spans="1:15" x14ac:dyDescent="0.25">
      <c r="A51" s="93" t="s">
        <v>138</v>
      </c>
      <c r="B51" s="93" t="s">
        <v>341</v>
      </c>
      <c r="C51" s="93" t="s">
        <v>386</v>
      </c>
      <c r="D51" s="93" t="s">
        <v>8</v>
      </c>
      <c r="E51" s="93" t="s">
        <v>364</v>
      </c>
      <c r="F51" s="93" t="s">
        <v>168</v>
      </c>
      <c r="G51" s="93" t="s">
        <v>218</v>
      </c>
      <c r="H51">
        <v>8349</v>
      </c>
      <c r="I51" s="93" t="s">
        <v>16</v>
      </c>
      <c r="J51" s="95">
        <v>45549</v>
      </c>
      <c r="K51" s="95">
        <v>45581</v>
      </c>
      <c r="L51" s="95">
        <v>45586</v>
      </c>
      <c r="M51" s="93" t="s">
        <v>199</v>
      </c>
      <c r="N51" s="93" t="s">
        <v>228</v>
      </c>
      <c r="O51" t="s">
        <v>425</v>
      </c>
    </row>
    <row r="52" spans="1:15" x14ac:dyDescent="0.25">
      <c r="A52" s="93" t="s">
        <v>118</v>
      </c>
      <c r="B52" s="93" t="s">
        <v>354</v>
      </c>
      <c r="C52" s="93" t="s">
        <v>363</v>
      </c>
      <c r="D52" s="93" t="s">
        <v>8</v>
      </c>
      <c r="E52" s="93" t="s">
        <v>350</v>
      </c>
      <c r="F52" s="93" t="s">
        <v>168</v>
      </c>
      <c r="G52" s="93" t="s">
        <v>336</v>
      </c>
      <c r="H52">
        <v>7849</v>
      </c>
      <c r="I52" s="93" t="s">
        <v>16</v>
      </c>
      <c r="J52" s="95">
        <v>45549</v>
      </c>
      <c r="K52" s="95">
        <v>45594</v>
      </c>
      <c r="L52" s="95">
        <v>45595</v>
      </c>
      <c r="M52" s="93" t="s">
        <v>199</v>
      </c>
      <c r="N52" s="93" t="s">
        <v>228</v>
      </c>
      <c r="O52" t="s">
        <v>425</v>
      </c>
    </row>
    <row r="53" spans="1:15" x14ac:dyDescent="0.25">
      <c r="A53" s="93" t="s">
        <v>119</v>
      </c>
      <c r="B53" s="93" t="s">
        <v>341</v>
      </c>
      <c r="C53" s="93" t="s">
        <v>352</v>
      </c>
      <c r="D53" s="93" t="s">
        <v>8</v>
      </c>
      <c r="E53" s="93" t="s">
        <v>343</v>
      </c>
      <c r="F53" s="93" t="s">
        <v>168</v>
      </c>
      <c r="G53" s="93" t="s">
        <v>168</v>
      </c>
      <c r="H53">
        <v>9399</v>
      </c>
      <c r="I53" s="93" t="s">
        <v>115</v>
      </c>
      <c r="J53" s="95">
        <v>45549</v>
      </c>
      <c r="K53" s="95">
        <v>45594</v>
      </c>
      <c r="L53" s="95">
        <v>45580</v>
      </c>
      <c r="M53" s="93" t="s">
        <v>199</v>
      </c>
      <c r="N53" s="93" t="s">
        <v>228</v>
      </c>
      <c r="O53" t="s">
        <v>424</v>
      </c>
    </row>
    <row r="54" spans="1:15" x14ac:dyDescent="0.25">
      <c r="A54" s="93" t="s">
        <v>121</v>
      </c>
      <c r="B54" s="93" t="s">
        <v>354</v>
      </c>
      <c r="C54" s="93" t="s">
        <v>252</v>
      </c>
      <c r="D54" s="93" t="s">
        <v>8</v>
      </c>
      <c r="E54" s="93" t="s">
        <v>356</v>
      </c>
      <c r="F54" s="93" t="s">
        <v>168</v>
      </c>
      <c r="G54" s="93" t="s">
        <v>218</v>
      </c>
      <c r="H54">
        <v>11817</v>
      </c>
      <c r="I54" s="93" t="s">
        <v>115</v>
      </c>
      <c r="J54" s="95">
        <v>45549</v>
      </c>
      <c r="K54" s="95">
        <v>45594</v>
      </c>
      <c r="L54" s="95">
        <v>45580</v>
      </c>
      <c r="M54" s="93" t="s">
        <v>199</v>
      </c>
      <c r="N54" s="93" t="s">
        <v>228</v>
      </c>
      <c r="O54" t="s">
        <v>424</v>
      </c>
    </row>
    <row r="55" spans="1:15" x14ac:dyDescent="0.25">
      <c r="A55" s="93" t="s">
        <v>124</v>
      </c>
      <c r="B55" s="93" t="s">
        <v>354</v>
      </c>
      <c r="C55" s="93" t="s">
        <v>88</v>
      </c>
      <c r="D55" s="93" t="s">
        <v>8</v>
      </c>
      <c r="E55" s="93" t="s">
        <v>376</v>
      </c>
      <c r="F55" s="93" t="s">
        <v>168</v>
      </c>
      <c r="G55" s="93" t="s">
        <v>335</v>
      </c>
      <c r="H55">
        <v>8349</v>
      </c>
      <c r="I55" s="93" t="s">
        <v>115</v>
      </c>
      <c r="J55" s="95">
        <v>45549</v>
      </c>
      <c r="K55" s="95">
        <v>45594</v>
      </c>
      <c r="L55" s="95">
        <v>45584</v>
      </c>
      <c r="M55" s="93" t="s">
        <v>199</v>
      </c>
      <c r="N55" s="93" t="s">
        <v>228</v>
      </c>
      <c r="O55" t="s">
        <v>424</v>
      </c>
    </row>
    <row r="56" spans="1:15" x14ac:dyDescent="0.25">
      <c r="A56" s="93" t="s">
        <v>128</v>
      </c>
      <c r="B56" s="93" t="s">
        <v>354</v>
      </c>
      <c r="C56" s="93" t="s">
        <v>129</v>
      </c>
      <c r="D56" s="93" t="s">
        <v>8</v>
      </c>
      <c r="E56" s="93" t="s">
        <v>356</v>
      </c>
      <c r="F56" s="93" t="s">
        <v>167</v>
      </c>
      <c r="G56" s="93" t="s">
        <v>207</v>
      </c>
      <c r="H56">
        <v>17886</v>
      </c>
      <c r="I56" s="93" t="s">
        <v>115</v>
      </c>
      <c r="J56" s="95">
        <v>45549</v>
      </c>
      <c r="K56" s="95">
        <v>45594</v>
      </c>
      <c r="L56" s="95"/>
      <c r="M56" s="93" t="s">
        <v>337</v>
      </c>
      <c r="N56" s="93" t="s">
        <v>236</v>
      </c>
      <c r="O56" t="s">
        <v>337</v>
      </c>
    </row>
    <row r="57" spans="1:15" x14ac:dyDescent="0.25">
      <c r="A57" s="93" t="s">
        <v>128</v>
      </c>
      <c r="B57" s="93" t="s">
        <v>354</v>
      </c>
      <c r="C57" s="93" t="s">
        <v>129</v>
      </c>
      <c r="D57" s="93" t="s">
        <v>8</v>
      </c>
      <c r="E57" s="93" t="s">
        <v>356</v>
      </c>
      <c r="F57" s="93" t="s">
        <v>167</v>
      </c>
      <c r="G57" s="93" t="s">
        <v>168</v>
      </c>
      <c r="H57">
        <v>17886</v>
      </c>
      <c r="I57" s="93" t="s">
        <v>115</v>
      </c>
      <c r="J57" s="95">
        <v>45549</v>
      </c>
      <c r="K57" s="95">
        <v>45594</v>
      </c>
      <c r="L57" s="95"/>
      <c r="M57" s="93" t="s">
        <v>337</v>
      </c>
      <c r="N57" s="93" t="s">
        <v>236</v>
      </c>
      <c r="O57" t="s">
        <v>337</v>
      </c>
    </row>
    <row r="58" spans="1:15" x14ac:dyDescent="0.25">
      <c r="A58" s="93" t="s">
        <v>131</v>
      </c>
      <c r="B58" s="93" t="s">
        <v>354</v>
      </c>
      <c r="C58" s="93" t="s">
        <v>67</v>
      </c>
      <c r="D58" s="93" t="s">
        <v>8</v>
      </c>
      <c r="E58" s="93" t="s">
        <v>356</v>
      </c>
      <c r="F58" s="93" t="s">
        <v>167</v>
      </c>
      <c r="G58" s="93" t="s">
        <v>168</v>
      </c>
      <c r="H58">
        <v>10987</v>
      </c>
      <c r="I58" s="93" t="s">
        <v>16</v>
      </c>
      <c r="J58" s="95">
        <v>45549</v>
      </c>
      <c r="K58" s="95">
        <v>45594</v>
      </c>
      <c r="L58" s="95">
        <v>45578</v>
      </c>
      <c r="M58" s="93" t="s">
        <v>199</v>
      </c>
      <c r="N58" s="93" t="s">
        <v>228</v>
      </c>
      <c r="O58" t="s">
        <v>424</v>
      </c>
    </row>
    <row r="59" spans="1:15" x14ac:dyDescent="0.25">
      <c r="A59" s="93" t="s">
        <v>131</v>
      </c>
      <c r="B59" s="93" t="s">
        <v>354</v>
      </c>
      <c r="C59" s="93" t="s">
        <v>67</v>
      </c>
      <c r="D59" s="93" t="s">
        <v>8</v>
      </c>
      <c r="E59" s="93" t="s">
        <v>356</v>
      </c>
      <c r="F59" s="93" t="s">
        <v>167</v>
      </c>
      <c r="G59" s="93" t="s">
        <v>168</v>
      </c>
      <c r="H59">
        <v>10987</v>
      </c>
      <c r="I59" s="93" t="s">
        <v>16</v>
      </c>
      <c r="J59" s="95">
        <v>45549</v>
      </c>
      <c r="K59" s="95">
        <v>45594</v>
      </c>
      <c r="L59" s="95">
        <v>45578</v>
      </c>
      <c r="M59" s="93" t="s">
        <v>199</v>
      </c>
      <c r="N59" s="93" t="s">
        <v>228</v>
      </c>
      <c r="O59" t="s">
        <v>424</v>
      </c>
    </row>
    <row r="60" spans="1:15" x14ac:dyDescent="0.25">
      <c r="A60" s="93" t="s">
        <v>134</v>
      </c>
      <c r="B60" s="93" t="s">
        <v>373</v>
      </c>
      <c r="C60" s="93" t="s">
        <v>135</v>
      </c>
      <c r="D60" s="93" t="s">
        <v>8</v>
      </c>
      <c r="E60" s="93" t="s">
        <v>364</v>
      </c>
      <c r="F60" s="93" t="s">
        <v>168</v>
      </c>
      <c r="G60" s="93" t="s">
        <v>218</v>
      </c>
      <c r="H60">
        <v>10319</v>
      </c>
      <c r="I60" s="93" t="s">
        <v>16</v>
      </c>
      <c r="J60" s="95">
        <v>45549</v>
      </c>
      <c r="K60" s="95">
        <v>45594</v>
      </c>
      <c r="L60" s="95">
        <v>45584</v>
      </c>
      <c r="M60" s="93" t="s">
        <v>199</v>
      </c>
      <c r="N60" s="93" t="s">
        <v>228</v>
      </c>
      <c r="O60" t="s">
        <v>424</v>
      </c>
    </row>
    <row r="61" spans="1:15" x14ac:dyDescent="0.25">
      <c r="A61" s="93" t="s">
        <v>112</v>
      </c>
      <c r="B61" s="93" t="s">
        <v>387</v>
      </c>
      <c r="C61" s="93" t="s">
        <v>387</v>
      </c>
      <c r="D61" s="93" t="s">
        <v>8</v>
      </c>
      <c r="E61" s="93" t="s">
        <v>348</v>
      </c>
      <c r="F61" s="93" t="s">
        <v>172</v>
      </c>
      <c r="G61" s="93" t="s">
        <v>168</v>
      </c>
      <c r="H61">
        <v>12999</v>
      </c>
      <c r="I61" s="93" t="s">
        <v>115</v>
      </c>
      <c r="J61" s="95">
        <v>45549</v>
      </c>
      <c r="K61" s="95">
        <v>45616</v>
      </c>
      <c r="L61" s="95">
        <v>45582</v>
      </c>
      <c r="M61" s="93" t="s">
        <v>28</v>
      </c>
      <c r="N61" s="93" t="s">
        <v>228</v>
      </c>
      <c r="O61" t="s">
        <v>424</v>
      </c>
    </row>
    <row r="62" spans="1:15" x14ac:dyDescent="0.25">
      <c r="A62" s="93" t="s">
        <v>116</v>
      </c>
      <c r="B62" s="93" t="s">
        <v>117</v>
      </c>
      <c r="C62" s="93" t="s">
        <v>117</v>
      </c>
      <c r="D62" s="93" t="s">
        <v>8</v>
      </c>
      <c r="E62" s="93" t="s">
        <v>353</v>
      </c>
      <c r="F62" s="93" t="s">
        <v>168</v>
      </c>
      <c r="G62" s="93" t="s">
        <v>172</v>
      </c>
      <c r="H62">
        <v>21999</v>
      </c>
      <c r="I62" s="93" t="s">
        <v>16</v>
      </c>
      <c r="J62" s="95">
        <v>45549</v>
      </c>
      <c r="K62" s="95">
        <v>45616</v>
      </c>
      <c r="L62" s="95"/>
      <c r="M62" s="93" t="s">
        <v>337</v>
      </c>
      <c r="N62" s="93" t="s">
        <v>236</v>
      </c>
      <c r="O62" t="s">
        <v>337</v>
      </c>
    </row>
    <row r="63" spans="1:15" x14ac:dyDescent="0.25">
      <c r="A63" s="93" t="s">
        <v>126</v>
      </c>
      <c r="B63" s="93" t="s">
        <v>354</v>
      </c>
      <c r="C63" s="93" t="s">
        <v>88</v>
      </c>
      <c r="D63" s="93" t="s">
        <v>8</v>
      </c>
      <c r="E63" s="93" t="s">
        <v>348</v>
      </c>
      <c r="F63" s="93" t="s">
        <v>172</v>
      </c>
      <c r="G63" s="93" t="s">
        <v>168</v>
      </c>
      <c r="H63">
        <v>12399</v>
      </c>
      <c r="I63" s="93" t="s">
        <v>16</v>
      </c>
      <c r="J63" s="95">
        <v>45549</v>
      </c>
      <c r="K63" s="95">
        <v>45616</v>
      </c>
      <c r="L63" s="95">
        <v>45566</v>
      </c>
      <c r="M63" s="93" t="s">
        <v>28</v>
      </c>
      <c r="N63" s="93" t="s">
        <v>228</v>
      </c>
      <c r="O63" t="s">
        <v>424</v>
      </c>
    </row>
    <row r="64" spans="1:15" x14ac:dyDescent="0.25">
      <c r="A64" s="93" t="s">
        <v>133</v>
      </c>
      <c r="B64" s="93" t="s">
        <v>354</v>
      </c>
      <c r="C64" s="93" t="s">
        <v>67</v>
      </c>
      <c r="D64" s="93" t="s">
        <v>8</v>
      </c>
      <c r="E64" s="93" t="s">
        <v>353</v>
      </c>
      <c r="F64" s="93" t="s">
        <v>168</v>
      </c>
      <c r="G64" s="93" t="s">
        <v>172</v>
      </c>
      <c r="H64">
        <v>21999</v>
      </c>
      <c r="I64" s="93" t="s">
        <v>16</v>
      </c>
      <c r="J64" s="95">
        <v>45549</v>
      </c>
      <c r="K64" s="95">
        <v>45616</v>
      </c>
      <c r="L64" s="95">
        <v>45574</v>
      </c>
      <c r="M64" s="93" t="s">
        <v>199</v>
      </c>
      <c r="N64" s="93" t="s">
        <v>228</v>
      </c>
      <c r="O64" t="s">
        <v>424</v>
      </c>
    </row>
    <row r="65" spans="1:15" x14ac:dyDescent="0.25">
      <c r="A65" s="93" t="s">
        <v>136</v>
      </c>
      <c r="B65" s="93" t="s">
        <v>354</v>
      </c>
      <c r="C65" s="93" t="s">
        <v>363</v>
      </c>
      <c r="D65" s="93" t="s">
        <v>8</v>
      </c>
      <c r="E65" s="93" t="s">
        <v>348</v>
      </c>
      <c r="F65" s="93" t="s">
        <v>167</v>
      </c>
      <c r="G65" s="93" t="s">
        <v>168</v>
      </c>
      <c r="H65">
        <v>10999</v>
      </c>
      <c r="I65" s="93" t="s">
        <v>115</v>
      </c>
      <c r="J65" s="95">
        <v>45549</v>
      </c>
      <c r="K65" s="95">
        <v>45616</v>
      </c>
      <c r="L65" s="95">
        <v>45581</v>
      </c>
      <c r="M65" s="93" t="s">
        <v>199</v>
      </c>
      <c r="N65" s="93" t="s">
        <v>228</v>
      </c>
      <c r="O65" t="s">
        <v>424</v>
      </c>
    </row>
    <row r="66" spans="1:15" x14ac:dyDescent="0.25">
      <c r="A66" s="93" t="s">
        <v>429</v>
      </c>
      <c r="B66" s="93" t="s">
        <v>354</v>
      </c>
      <c r="C66" s="93" t="s">
        <v>388</v>
      </c>
      <c r="D66" s="93" t="s">
        <v>8</v>
      </c>
      <c r="E66" s="93" t="s">
        <v>348</v>
      </c>
      <c r="F66" s="93" t="s">
        <v>167</v>
      </c>
      <c r="G66" s="93" t="s">
        <v>168</v>
      </c>
      <c r="H66">
        <v>10999</v>
      </c>
      <c r="I66" s="93" t="s">
        <v>115</v>
      </c>
      <c r="J66" s="95">
        <v>45550</v>
      </c>
      <c r="K66" s="95">
        <v>45616</v>
      </c>
      <c r="L66" s="95">
        <v>45581</v>
      </c>
      <c r="M66" s="93" t="s">
        <v>199</v>
      </c>
      <c r="N66" s="93" t="s">
        <v>228</v>
      </c>
      <c r="O66" t="s">
        <v>424</v>
      </c>
    </row>
    <row r="67" spans="1:15" x14ac:dyDescent="0.25">
      <c r="A67" s="93" t="s">
        <v>429</v>
      </c>
      <c r="B67" s="93" t="s">
        <v>354</v>
      </c>
      <c r="C67" s="93" t="s">
        <v>388</v>
      </c>
      <c r="D67" s="93" t="s">
        <v>8</v>
      </c>
      <c r="E67" s="93" t="s">
        <v>348</v>
      </c>
      <c r="F67" s="93" t="s">
        <v>167</v>
      </c>
      <c r="G67" s="93" t="s">
        <v>168</v>
      </c>
      <c r="H67">
        <v>10999</v>
      </c>
      <c r="I67" s="93" t="s">
        <v>115</v>
      </c>
      <c r="J67" s="95">
        <v>45550</v>
      </c>
      <c r="K67" s="95">
        <v>45616</v>
      </c>
      <c r="L67" s="95">
        <v>45581</v>
      </c>
      <c r="M67" s="93" t="s">
        <v>199</v>
      </c>
      <c r="N67" s="93" t="s">
        <v>228</v>
      </c>
      <c r="O67" t="s">
        <v>424</v>
      </c>
    </row>
    <row r="68" spans="1:15" x14ac:dyDescent="0.25">
      <c r="A68" s="93" t="s">
        <v>430</v>
      </c>
      <c r="B68" s="93" t="s">
        <v>354</v>
      </c>
      <c r="C68" s="93" t="s">
        <v>389</v>
      </c>
      <c r="D68" s="93" t="s">
        <v>8</v>
      </c>
      <c r="E68" s="93" t="s">
        <v>353</v>
      </c>
      <c r="F68" s="93" t="s">
        <v>168</v>
      </c>
      <c r="G68" s="93" t="s">
        <v>172</v>
      </c>
      <c r="H68">
        <v>21999</v>
      </c>
      <c r="I68" s="93" t="s">
        <v>115</v>
      </c>
      <c r="J68" s="95">
        <v>45550</v>
      </c>
      <c r="K68" s="95">
        <v>45616</v>
      </c>
      <c r="L68" s="95">
        <v>45584</v>
      </c>
      <c r="M68" s="93" t="s">
        <v>199</v>
      </c>
      <c r="N68" s="93" t="s">
        <v>228</v>
      </c>
      <c r="O68" t="s">
        <v>424</v>
      </c>
    </row>
    <row r="69" spans="1:15" x14ac:dyDescent="0.25">
      <c r="A69" s="93" t="s">
        <v>196</v>
      </c>
      <c r="B69" s="93" t="s">
        <v>212</v>
      </c>
      <c r="C69" s="93" t="s">
        <v>144</v>
      </c>
      <c r="D69" s="93" t="s">
        <v>8</v>
      </c>
      <c r="E69" s="93" t="s">
        <v>364</v>
      </c>
      <c r="F69" s="93" t="s">
        <v>168</v>
      </c>
      <c r="G69" s="93" t="s">
        <v>218</v>
      </c>
      <c r="H69">
        <v>7849</v>
      </c>
      <c r="I69" s="93" t="s">
        <v>390</v>
      </c>
      <c r="J69" s="95">
        <v>45551</v>
      </c>
      <c r="K69" s="95">
        <v>45595</v>
      </c>
      <c r="L69" s="95">
        <v>45610</v>
      </c>
      <c r="M69" s="93" t="s">
        <v>28</v>
      </c>
      <c r="N69" s="93" t="s">
        <v>228</v>
      </c>
      <c r="O69" t="s">
        <v>425</v>
      </c>
    </row>
    <row r="70" spans="1:15" x14ac:dyDescent="0.25">
      <c r="A70" s="93" t="s">
        <v>83</v>
      </c>
      <c r="B70" s="93" t="s">
        <v>373</v>
      </c>
      <c r="C70" s="93" t="s">
        <v>391</v>
      </c>
      <c r="D70" s="93" t="s">
        <v>56</v>
      </c>
      <c r="E70" s="93" t="s">
        <v>348</v>
      </c>
      <c r="F70" s="93" t="s">
        <v>167</v>
      </c>
      <c r="G70" s="93" t="s">
        <v>168</v>
      </c>
      <c r="H70">
        <v>5074</v>
      </c>
      <c r="I70" s="93" t="s">
        <v>85</v>
      </c>
      <c r="J70" s="95">
        <v>45556</v>
      </c>
      <c r="K70" s="95">
        <v>45570</v>
      </c>
      <c r="L70" s="95">
        <v>45577</v>
      </c>
      <c r="M70" s="93" t="s">
        <v>199</v>
      </c>
      <c r="N70" s="93" t="s">
        <v>228</v>
      </c>
      <c r="O70" t="s">
        <v>425</v>
      </c>
    </row>
    <row r="71" spans="1:15" x14ac:dyDescent="0.25">
      <c r="A71" s="93" t="s">
        <v>427</v>
      </c>
      <c r="B71" s="93" t="s">
        <v>354</v>
      </c>
      <c r="C71" s="93" t="s">
        <v>42</v>
      </c>
      <c r="D71" s="93" t="s">
        <v>43</v>
      </c>
      <c r="E71" s="93" t="s">
        <v>348</v>
      </c>
      <c r="F71" s="93" t="s">
        <v>392</v>
      </c>
      <c r="G71" s="93" t="s">
        <v>168</v>
      </c>
      <c r="H71">
        <v>6250</v>
      </c>
      <c r="I71" s="93" t="s">
        <v>85</v>
      </c>
      <c r="J71" s="95">
        <v>45558</v>
      </c>
      <c r="K71" s="95">
        <v>45573</v>
      </c>
      <c r="L71" s="95">
        <v>45582</v>
      </c>
      <c r="M71" s="93" t="s">
        <v>199</v>
      </c>
      <c r="N71" s="93" t="s">
        <v>228</v>
      </c>
      <c r="O71" t="s">
        <v>425</v>
      </c>
    </row>
    <row r="72" spans="1:15" x14ac:dyDescent="0.25">
      <c r="A72" s="93" t="s">
        <v>427</v>
      </c>
      <c r="B72" s="93" t="s">
        <v>354</v>
      </c>
      <c r="C72" s="93" t="s">
        <v>42</v>
      </c>
      <c r="D72" s="93" t="s">
        <v>43</v>
      </c>
      <c r="E72" s="93" t="s">
        <v>348</v>
      </c>
      <c r="F72" s="93" t="s">
        <v>392</v>
      </c>
      <c r="G72" s="93" t="s">
        <v>168</v>
      </c>
      <c r="H72">
        <v>6250</v>
      </c>
      <c r="I72" s="93" t="s">
        <v>85</v>
      </c>
      <c r="J72" s="95">
        <v>45558</v>
      </c>
      <c r="K72" s="95">
        <v>45573</v>
      </c>
      <c r="L72" s="95">
        <v>45582</v>
      </c>
      <c r="M72" s="93" t="s">
        <v>199</v>
      </c>
      <c r="N72" s="93" t="s">
        <v>228</v>
      </c>
      <c r="O72" t="s">
        <v>425</v>
      </c>
    </row>
    <row r="73" spans="1:15" x14ac:dyDescent="0.25">
      <c r="A73" s="93" t="s">
        <v>202</v>
      </c>
      <c r="B73" s="93" t="s">
        <v>354</v>
      </c>
      <c r="C73" s="93" t="s">
        <v>42</v>
      </c>
      <c r="D73" s="93" t="s">
        <v>8</v>
      </c>
      <c r="E73" s="93" t="s">
        <v>356</v>
      </c>
      <c r="F73" s="93" t="s">
        <v>167</v>
      </c>
      <c r="G73" s="93" t="s">
        <v>168</v>
      </c>
      <c r="H73">
        <v>8943</v>
      </c>
      <c r="I73" s="93" t="s">
        <v>393</v>
      </c>
      <c r="J73" s="95">
        <v>45561</v>
      </c>
      <c r="K73" s="95">
        <v>45606</v>
      </c>
      <c r="L73" s="95">
        <v>45575</v>
      </c>
      <c r="M73" s="93" t="s">
        <v>199</v>
      </c>
      <c r="N73" s="93" t="s">
        <v>228</v>
      </c>
      <c r="O73" t="s">
        <v>424</v>
      </c>
    </row>
    <row r="74" spans="1:15" x14ac:dyDescent="0.25">
      <c r="A74" s="93" t="s">
        <v>203</v>
      </c>
      <c r="B74" s="93" t="s">
        <v>341</v>
      </c>
      <c r="C74" s="93" t="s">
        <v>352</v>
      </c>
      <c r="D74" s="93" t="s">
        <v>8</v>
      </c>
      <c r="E74" s="93" t="s">
        <v>376</v>
      </c>
      <c r="F74" s="93" t="s">
        <v>168</v>
      </c>
      <c r="G74" s="93" t="s">
        <v>335</v>
      </c>
      <c r="H74">
        <v>8349</v>
      </c>
      <c r="I74" s="93" t="s">
        <v>394</v>
      </c>
      <c r="J74" s="95">
        <v>45561</v>
      </c>
      <c r="K74" s="95">
        <v>45606</v>
      </c>
      <c r="L74" s="95"/>
      <c r="M74" s="93" t="s">
        <v>337</v>
      </c>
      <c r="N74" s="93" t="s">
        <v>236</v>
      </c>
      <c r="O74" t="s">
        <v>337</v>
      </c>
    </row>
    <row r="75" spans="1:15" x14ac:dyDescent="0.25">
      <c r="A75" s="93" t="s">
        <v>426</v>
      </c>
      <c r="B75" s="93" t="s">
        <v>354</v>
      </c>
      <c r="C75" s="93" t="s">
        <v>34</v>
      </c>
      <c r="D75" s="93" t="s">
        <v>8</v>
      </c>
      <c r="E75" s="93" t="s">
        <v>353</v>
      </c>
      <c r="F75" s="93" t="s">
        <v>168</v>
      </c>
      <c r="G75" s="93" t="s">
        <v>220</v>
      </c>
      <c r="H75">
        <v>14950</v>
      </c>
      <c r="I75" s="93" t="s">
        <v>16</v>
      </c>
      <c r="J75" s="95">
        <v>45561</v>
      </c>
      <c r="K75" s="95">
        <v>45579</v>
      </c>
      <c r="L75" s="95">
        <v>45578</v>
      </c>
      <c r="M75" s="93" t="s">
        <v>199</v>
      </c>
      <c r="N75" s="93" t="s">
        <v>228</v>
      </c>
      <c r="O75" t="s">
        <v>424</v>
      </c>
    </row>
    <row r="76" spans="1:15" x14ac:dyDescent="0.25">
      <c r="A76" s="93" t="s">
        <v>426</v>
      </c>
      <c r="B76" s="93" t="s">
        <v>341</v>
      </c>
      <c r="C76" s="93" t="s">
        <v>352</v>
      </c>
      <c r="D76" s="93" t="s">
        <v>8</v>
      </c>
      <c r="E76" s="93" t="s">
        <v>348</v>
      </c>
      <c r="F76" s="93" t="s">
        <v>168</v>
      </c>
      <c r="G76" s="93" t="s">
        <v>168</v>
      </c>
      <c r="H76">
        <v>9208</v>
      </c>
      <c r="I76" s="93" t="s">
        <v>395</v>
      </c>
      <c r="J76" s="95">
        <v>45561</v>
      </c>
      <c r="K76" s="95">
        <v>45579</v>
      </c>
      <c r="L76" s="95"/>
      <c r="M76" s="93" t="s">
        <v>337</v>
      </c>
      <c r="N76" s="93" t="s">
        <v>236</v>
      </c>
      <c r="O76" t="s">
        <v>337</v>
      </c>
    </row>
    <row r="77" spans="1:15" x14ac:dyDescent="0.25">
      <c r="A77" s="93" t="s">
        <v>426</v>
      </c>
      <c r="B77" s="93" t="s">
        <v>341</v>
      </c>
      <c r="C77" s="93" t="s">
        <v>352</v>
      </c>
      <c r="D77" s="93" t="s">
        <v>8</v>
      </c>
      <c r="E77" s="93" t="s">
        <v>356</v>
      </c>
      <c r="F77" s="93" t="s">
        <v>167</v>
      </c>
      <c r="G77" s="93" t="s">
        <v>168</v>
      </c>
      <c r="H77">
        <v>7433</v>
      </c>
      <c r="I77" s="93" t="s">
        <v>16</v>
      </c>
      <c r="J77" s="95">
        <v>45564</v>
      </c>
      <c r="K77" s="95">
        <v>45585</v>
      </c>
      <c r="L77" s="95">
        <v>45586</v>
      </c>
      <c r="M77" s="93" t="s">
        <v>199</v>
      </c>
      <c r="N77" s="93" t="s">
        <v>228</v>
      </c>
      <c r="O77" t="s">
        <v>425</v>
      </c>
    </row>
    <row r="78" spans="1:15" x14ac:dyDescent="0.25">
      <c r="A78" s="93" t="s">
        <v>83</v>
      </c>
      <c r="B78" s="93" t="s">
        <v>373</v>
      </c>
      <c r="C78" s="93" t="s">
        <v>391</v>
      </c>
      <c r="D78" s="93" t="s">
        <v>56</v>
      </c>
      <c r="E78" s="93" t="s">
        <v>356</v>
      </c>
      <c r="F78" s="93" t="s">
        <v>167</v>
      </c>
      <c r="G78" s="93" t="s">
        <v>168</v>
      </c>
      <c r="H78">
        <v>4020</v>
      </c>
      <c r="I78" s="93" t="s">
        <v>85</v>
      </c>
      <c r="J78" s="95">
        <v>45564</v>
      </c>
      <c r="K78" s="95">
        <v>45577</v>
      </c>
      <c r="L78" s="95">
        <v>45577</v>
      </c>
      <c r="M78" s="93" t="s">
        <v>199</v>
      </c>
      <c r="N78" s="93" t="s">
        <v>228</v>
      </c>
      <c r="O78" t="s">
        <v>425</v>
      </c>
    </row>
    <row r="79" spans="1:15" x14ac:dyDescent="0.25">
      <c r="A79" s="93" t="s">
        <v>210</v>
      </c>
      <c r="B79" s="93" t="s">
        <v>212</v>
      </c>
      <c r="C79" s="93" t="s">
        <v>212</v>
      </c>
      <c r="D79" s="93" t="s">
        <v>212</v>
      </c>
      <c r="E79" s="93" t="s">
        <v>348</v>
      </c>
      <c r="F79" s="93" t="s">
        <v>247</v>
      </c>
      <c r="G79" s="93" t="s">
        <v>168</v>
      </c>
      <c r="H79">
        <v>8544.9054400000005</v>
      </c>
      <c r="J79" s="95">
        <v>45566</v>
      </c>
      <c r="K79" s="95">
        <v>45574</v>
      </c>
      <c r="L79" s="95">
        <v>45574</v>
      </c>
      <c r="M79" s="93" t="s">
        <v>227</v>
      </c>
      <c r="N79" s="93" t="s">
        <v>228</v>
      </c>
      <c r="O79" t="s">
        <v>425</v>
      </c>
    </row>
    <row r="80" spans="1:15" x14ac:dyDescent="0.25">
      <c r="A80" s="93" t="s">
        <v>210</v>
      </c>
      <c r="B80" s="93" t="s">
        <v>212</v>
      </c>
      <c r="C80" s="93" t="s">
        <v>212</v>
      </c>
      <c r="D80" s="93" t="s">
        <v>212</v>
      </c>
      <c r="E80" s="93" t="s">
        <v>343</v>
      </c>
      <c r="F80" s="93" t="s">
        <v>168</v>
      </c>
      <c r="G80" s="93" t="s">
        <v>218</v>
      </c>
      <c r="H80">
        <v>4600</v>
      </c>
      <c r="J80" s="95">
        <v>45566</v>
      </c>
      <c r="K80" s="95">
        <v>45574</v>
      </c>
      <c r="L80" s="95">
        <v>45574</v>
      </c>
      <c r="M80" s="93" t="s">
        <v>227</v>
      </c>
      <c r="N80" s="93" t="s">
        <v>228</v>
      </c>
      <c r="O80" t="s">
        <v>425</v>
      </c>
    </row>
    <row r="81" spans="1:15" x14ac:dyDescent="0.25">
      <c r="A81" s="93" t="s">
        <v>210</v>
      </c>
      <c r="B81" s="93" t="s">
        <v>212</v>
      </c>
      <c r="C81" s="93" t="s">
        <v>212</v>
      </c>
      <c r="D81" s="93" t="s">
        <v>212</v>
      </c>
      <c r="E81" s="93" t="s">
        <v>396</v>
      </c>
      <c r="F81" s="93" t="s">
        <v>168</v>
      </c>
      <c r="G81" s="93" t="s">
        <v>216</v>
      </c>
      <c r="H81">
        <v>10000</v>
      </c>
      <c r="J81" s="95">
        <v>45566</v>
      </c>
      <c r="K81" s="95">
        <v>45574</v>
      </c>
      <c r="L81" s="95">
        <v>45574</v>
      </c>
      <c r="M81" s="93" t="s">
        <v>227</v>
      </c>
      <c r="N81" s="93" t="s">
        <v>228</v>
      </c>
      <c r="O81" t="s">
        <v>425</v>
      </c>
    </row>
    <row r="82" spans="1:15" x14ac:dyDescent="0.25">
      <c r="A82" s="93" t="s">
        <v>210</v>
      </c>
      <c r="B82" s="93" t="s">
        <v>212</v>
      </c>
      <c r="C82" s="93" t="s">
        <v>212</v>
      </c>
      <c r="D82" s="93" t="s">
        <v>212</v>
      </c>
      <c r="E82" s="93" t="s">
        <v>397</v>
      </c>
      <c r="F82" s="93" t="s">
        <v>168</v>
      </c>
      <c r="G82" s="93" t="s">
        <v>220</v>
      </c>
      <c r="H82">
        <v>9300</v>
      </c>
      <c r="J82" s="95">
        <v>45566</v>
      </c>
      <c r="K82" s="95">
        <v>45574</v>
      </c>
      <c r="L82" s="95">
        <v>45574</v>
      </c>
      <c r="M82" s="93" t="s">
        <v>227</v>
      </c>
      <c r="N82" s="93" t="s">
        <v>228</v>
      </c>
      <c r="O82" t="s">
        <v>425</v>
      </c>
    </row>
    <row r="83" spans="1:15" x14ac:dyDescent="0.25">
      <c r="A83" s="93" t="s">
        <v>221</v>
      </c>
      <c r="B83" s="93" t="s">
        <v>354</v>
      </c>
      <c r="C83" s="93" t="s">
        <v>222</v>
      </c>
      <c r="D83" s="93" t="s">
        <v>8</v>
      </c>
      <c r="E83" s="93" t="s">
        <v>343</v>
      </c>
      <c r="F83" s="93" t="s">
        <v>168</v>
      </c>
      <c r="G83" s="93" t="s">
        <v>168</v>
      </c>
      <c r="H83">
        <v>8899</v>
      </c>
      <c r="I83" s="93" t="s">
        <v>398</v>
      </c>
      <c r="J83" s="95">
        <v>45568</v>
      </c>
      <c r="K83" s="95">
        <v>45613</v>
      </c>
      <c r="L83" s="95"/>
      <c r="M83" s="93" t="s">
        <v>199</v>
      </c>
      <c r="N83" s="93" t="s">
        <v>198</v>
      </c>
      <c r="O83" t="s">
        <v>337</v>
      </c>
    </row>
    <row r="84" spans="1:15" x14ac:dyDescent="0.25">
      <c r="A84" s="93" t="s">
        <v>426</v>
      </c>
      <c r="B84" s="93" t="s">
        <v>354</v>
      </c>
      <c r="C84" s="93" t="s">
        <v>224</v>
      </c>
      <c r="D84" s="93" t="s">
        <v>8</v>
      </c>
      <c r="E84" s="93" t="s">
        <v>353</v>
      </c>
      <c r="F84" s="93" t="s">
        <v>168</v>
      </c>
      <c r="G84" s="93" t="s">
        <v>399</v>
      </c>
      <c r="H84">
        <v>14550</v>
      </c>
      <c r="I84" s="93" t="s">
        <v>16</v>
      </c>
      <c r="J84" s="95">
        <v>45573</v>
      </c>
      <c r="K84" s="95">
        <v>45594</v>
      </c>
      <c r="L84" s="95">
        <v>45595</v>
      </c>
      <c r="M84" s="93" t="s">
        <v>199</v>
      </c>
      <c r="N84" s="93" t="s">
        <v>228</v>
      </c>
      <c r="O84" t="s">
        <v>425</v>
      </c>
    </row>
    <row r="85" spans="1:15" x14ac:dyDescent="0.25">
      <c r="A85" s="93" t="s">
        <v>426</v>
      </c>
      <c r="B85" s="93" t="s">
        <v>341</v>
      </c>
      <c r="C85" s="93" t="s">
        <v>352</v>
      </c>
      <c r="D85" s="93" t="s">
        <v>8</v>
      </c>
      <c r="E85" s="93" t="s">
        <v>353</v>
      </c>
      <c r="F85" s="93" t="s">
        <v>168</v>
      </c>
      <c r="G85" s="93" t="s">
        <v>399</v>
      </c>
      <c r="H85">
        <v>14550</v>
      </c>
      <c r="I85" s="93" t="s">
        <v>16</v>
      </c>
      <c r="J85" s="95">
        <v>45572</v>
      </c>
      <c r="K85" s="95">
        <v>45594</v>
      </c>
      <c r="L85" s="95">
        <v>45580</v>
      </c>
      <c r="M85" s="93" t="s">
        <v>199</v>
      </c>
      <c r="N85" s="93" t="s">
        <v>228</v>
      </c>
      <c r="O85" t="s">
        <v>424</v>
      </c>
    </row>
    <row r="86" spans="1:15" x14ac:dyDescent="0.25">
      <c r="A86" s="93" t="s">
        <v>426</v>
      </c>
      <c r="B86" s="93" t="s">
        <v>341</v>
      </c>
      <c r="C86" s="93" t="s">
        <v>352</v>
      </c>
      <c r="D86" s="93" t="s">
        <v>8</v>
      </c>
      <c r="E86" s="93" t="s">
        <v>353</v>
      </c>
      <c r="F86" s="93" t="s">
        <v>168</v>
      </c>
      <c r="G86" s="93" t="s">
        <v>220</v>
      </c>
      <c r="H86">
        <v>14550</v>
      </c>
      <c r="I86" s="93" t="s">
        <v>400</v>
      </c>
      <c r="J86" s="95">
        <v>45575</v>
      </c>
      <c r="K86" s="95">
        <v>45596</v>
      </c>
      <c r="L86" s="95">
        <v>45598</v>
      </c>
      <c r="M86" s="93" t="s">
        <v>199</v>
      </c>
      <c r="N86" s="93" t="s">
        <v>228</v>
      </c>
      <c r="O86" t="s">
        <v>425</v>
      </c>
    </row>
    <row r="87" spans="1:15" x14ac:dyDescent="0.25">
      <c r="A87" s="93" t="s">
        <v>432</v>
      </c>
      <c r="B87" s="93" t="s">
        <v>354</v>
      </c>
      <c r="C87" s="93" t="s">
        <v>67</v>
      </c>
      <c r="D87" s="93" t="s">
        <v>8</v>
      </c>
      <c r="E87" s="93" t="s">
        <v>348</v>
      </c>
      <c r="F87" s="93" t="s">
        <v>234</v>
      </c>
      <c r="G87" s="93" t="s">
        <v>168</v>
      </c>
      <c r="H87">
        <v>12899</v>
      </c>
      <c r="I87" s="93" t="s">
        <v>401</v>
      </c>
      <c r="J87" s="95">
        <v>45578</v>
      </c>
      <c r="K87" s="95">
        <v>45643</v>
      </c>
      <c r="L87" s="95">
        <v>45598</v>
      </c>
      <c r="M87" s="93" t="s">
        <v>199</v>
      </c>
      <c r="N87" s="93" t="s">
        <v>228</v>
      </c>
      <c r="O87" t="s">
        <v>424</v>
      </c>
    </row>
    <row r="88" spans="1:15" x14ac:dyDescent="0.25">
      <c r="A88" s="93" t="s">
        <v>433</v>
      </c>
      <c r="B88" s="93" t="s">
        <v>354</v>
      </c>
      <c r="C88" s="93" t="s">
        <v>360</v>
      </c>
      <c r="D88" s="93" t="s">
        <v>8</v>
      </c>
      <c r="E88" s="93" t="s">
        <v>348</v>
      </c>
      <c r="F88" s="93" t="s">
        <v>167</v>
      </c>
      <c r="G88" s="93" t="s">
        <v>168</v>
      </c>
      <c r="H88">
        <v>10499</v>
      </c>
      <c r="I88" s="93" t="s">
        <v>16</v>
      </c>
      <c r="J88" s="95">
        <v>45581</v>
      </c>
      <c r="K88" s="95">
        <v>45645</v>
      </c>
      <c r="L88" s="95">
        <v>45586</v>
      </c>
      <c r="M88" s="93" t="s">
        <v>199</v>
      </c>
      <c r="N88" s="93" t="s">
        <v>228</v>
      </c>
      <c r="O88" t="s">
        <v>424</v>
      </c>
    </row>
    <row r="89" spans="1:15" x14ac:dyDescent="0.25">
      <c r="A89" s="93" t="s">
        <v>434</v>
      </c>
      <c r="B89" s="93" t="s">
        <v>344</v>
      </c>
      <c r="C89" s="93" t="s">
        <v>402</v>
      </c>
      <c r="D89" s="93" t="s">
        <v>8</v>
      </c>
      <c r="E89" s="93" t="s">
        <v>348</v>
      </c>
      <c r="F89" s="93" t="s">
        <v>234</v>
      </c>
      <c r="G89" s="93" t="s">
        <v>168</v>
      </c>
      <c r="H89">
        <v>12899</v>
      </c>
      <c r="I89" s="93" t="s">
        <v>16</v>
      </c>
      <c r="J89" s="95">
        <v>45582</v>
      </c>
      <c r="K89" s="95">
        <v>45648</v>
      </c>
      <c r="L89" s="95">
        <v>45629</v>
      </c>
      <c r="M89" s="93" t="s">
        <v>28</v>
      </c>
      <c r="N89" s="93" t="s">
        <v>228</v>
      </c>
      <c r="O89" t="s">
        <v>424</v>
      </c>
    </row>
    <row r="90" spans="1:15" x14ac:dyDescent="0.25">
      <c r="A90" s="93" t="s">
        <v>240</v>
      </c>
      <c r="B90" s="93" t="s">
        <v>354</v>
      </c>
      <c r="C90" s="93" t="s">
        <v>363</v>
      </c>
      <c r="D90" s="93" t="s">
        <v>403</v>
      </c>
      <c r="E90" s="93" t="s">
        <v>356</v>
      </c>
      <c r="F90" s="93" t="s">
        <v>220</v>
      </c>
      <c r="G90" s="93" t="s">
        <v>245</v>
      </c>
      <c r="H90">
        <v>5135</v>
      </c>
      <c r="I90" s="93" t="s">
        <v>16</v>
      </c>
      <c r="J90" s="95">
        <v>45585</v>
      </c>
      <c r="K90" s="95">
        <v>45613</v>
      </c>
      <c r="L90" s="95">
        <v>45610</v>
      </c>
      <c r="M90" s="93" t="s">
        <v>199</v>
      </c>
      <c r="N90" s="93" t="s">
        <v>228</v>
      </c>
      <c r="O90" t="s">
        <v>424</v>
      </c>
    </row>
    <row r="91" spans="1:15" x14ac:dyDescent="0.25">
      <c r="A91" s="93" t="s">
        <v>426</v>
      </c>
      <c r="B91" s="93" t="s">
        <v>341</v>
      </c>
      <c r="C91" s="93" t="s">
        <v>352</v>
      </c>
      <c r="D91" s="93" t="s">
        <v>8</v>
      </c>
      <c r="E91" s="93" t="s">
        <v>348</v>
      </c>
      <c r="F91" s="93" t="s">
        <v>247</v>
      </c>
      <c r="G91" s="93" t="s">
        <v>168</v>
      </c>
      <c r="H91">
        <v>12777.5</v>
      </c>
      <c r="I91" s="93" t="s">
        <v>404</v>
      </c>
      <c r="J91" s="95">
        <v>45587</v>
      </c>
      <c r="K91" s="95">
        <v>45608</v>
      </c>
      <c r="L91" s="95">
        <v>45614</v>
      </c>
      <c r="M91" s="93" t="s">
        <v>199</v>
      </c>
      <c r="N91" s="93" t="s">
        <v>228</v>
      </c>
      <c r="O91" t="s">
        <v>425</v>
      </c>
    </row>
    <row r="92" spans="1:15" x14ac:dyDescent="0.25">
      <c r="A92" s="93" t="s">
        <v>426</v>
      </c>
      <c r="B92" s="93" t="s">
        <v>341</v>
      </c>
      <c r="C92" s="93" t="s">
        <v>352</v>
      </c>
      <c r="D92" s="93" t="s">
        <v>8</v>
      </c>
      <c r="E92" s="93" t="s">
        <v>348</v>
      </c>
      <c r="F92" s="93" t="s">
        <v>247</v>
      </c>
      <c r="G92" s="93" t="s">
        <v>168</v>
      </c>
      <c r="H92">
        <v>12777.5</v>
      </c>
      <c r="I92" s="93" t="s">
        <v>404</v>
      </c>
      <c r="J92" s="95">
        <v>45587</v>
      </c>
      <c r="K92" s="95">
        <v>45608</v>
      </c>
      <c r="L92" s="95">
        <v>45614</v>
      </c>
      <c r="M92" s="93" t="s">
        <v>199</v>
      </c>
      <c r="N92" s="93" t="s">
        <v>228</v>
      </c>
      <c r="O92" t="s">
        <v>425</v>
      </c>
    </row>
    <row r="93" spans="1:15" x14ac:dyDescent="0.25">
      <c r="A93" s="93" t="s">
        <v>83</v>
      </c>
      <c r="B93" s="93" t="s">
        <v>354</v>
      </c>
      <c r="C93" s="93" t="s">
        <v>366</v>
      </c>
      <c r="D93" s="93" t="s">
        <v>56</v>
      </c>
      <c r="E93" s="93" t="s">
        <v>348</v>
      </c>
      <c r="F93" s="93" t="s">
        <v>247</v>
      </c>
      <c r="G93" s="93" t="s">
        <v>168</v>
      </c>
      <c r="H93">
        <v>8544.91</v>
      </c>
      <c r="I93" s="93" t="s">
        <v>85</v>
      </c>
      <c r="J93" s="95">
        <v>45587</v>
      </c>
      <c r="K93" s="95">
        <v>45594</v>
      </c>
      <c r="L93" s="95"/>
      <c r="M93" s="93" t="s">
        <v>337</v>
      </c>
      <c r="N93" s="93" t="s">
        <v>236</v>
      </c>
      <c r="O93" t="s">
        <v>337</v>
      </c>
    </row>
    <row r="94" spans="1:15" x14ac:dyDescent="0.25">
      <c r="A94" s="93" t="s">
        <v>250</v>
      </c>
      <c r="B94" s="93" t="s">
        <v>341</v>
      </c>
      <c r="C94" s="93" t="s">
        <v>352</v>
      </c>
      <c r="D94" s="93" t="s">
        <v>8</v>
      </c>
      <c r="E94" s="93" t="s">
        <v>356</v>
      </c>
      <c r="F94" s="93" t="s">
        <v>167</v>
      </c>
      <c r="G94" s="93" t="s">
        <v>168</v>
      </c>
      <c r="H94">
        <v>8943</v>
      </c>
      <c r="I94" s="93" t="s">
        <v>405</v>
      </c>
      <c r="J94" s="95">
        <v>45586</v>
      </c>
      <c r="K94" s="95">
        <v>45610</v>
      </c>
      <c r="L94" s="95">
        <v>45614</v>
      </c>
      <c r="M94" s="93" t="s">
        <v>199</v>
      </c>
      <c r="N94" s="93" t="s">
        <v>228</v>
      </c>
      <c r="O94" t="s">
        <v>425</v>
      </c>
    </row>
    <row r="95" spans="1:15" x14ac:dyDescent="0.25">
      <c r="A95" s="93" t="s">
        <v>426</v>
      </c>
      <c r="B95" s="93" t="s">
        <v>341</v>
      </c>
      <c r="C95" s="93" t="s">
        <v>352</v>
      </c>
      <c r="D95" s="93" t="s">
        <v>8</v>
      </c>
      <c r="E95" s="93" t="s">
        <v>353</v>
      </c>
      <c r="F95" s="93" t="s">
        <v>168</v>
      </c>
      <c r="G95" s="93" t="s">
        <v>334</v>
      </c>
      <c r="H95">
        <v>15516</v>
      </c>
      <c r="I95" s="93" t="s">
        <v>16</v>
      </c>
      <c r="J95" s="95">
        <v>45589</v>
      </c>
      <c r="K95" s="95">
        <v>45610</v>
      </c>
      <c r="L95" s="95">
        <v>45595</v>
      </c>
      <c r="M95" s="93" t="s">
        <v>199</v>
      </c>
      <c r="N95" s="93" t="s">
        <v>228</v>
      </c>
      <c r="O95" t="s">
        <v>424</v>
      </c>
    </row>
    <row r="96" spans="1:15" x14ac:dyDescent="0.25">
      <c r="A96" s="93" t="s">
        <v>426</v>
      </c>
      <c r="B96" s="93" t="s">
        <v>341</v>
      </c>
      <c r="C96" s="93" t="s">
        <v>352</v>
      </c>
      <c r="D96" s="93" t="s">
        <v>8</v>
      </c>
      <c r="E96" s="93" t="s">
        <v>348</v>
      </c>
      <c r="F96" s="93" t="s">
        <v>168</v>
      </c>
      <c r="G96" s="93" t="s">
        <v>168</v>
      </c>
      <c r="H96">
        <v>10045</v>
      </c>
      <c r="I96" s="93" t="s">
        <v>406</v>
      </c>
      <c r="J96" s="95">
        <v>45591</v>
      </c>
      <c r="K96" s="95">
        <v>45612</v>
      </c>
      <c r="L96" s="95"/>
      <c r="M96" s="93" t="s">
        <v>337</v>
      </c>
      <c r="N96" s="93" t="s">
        <v>236</v>
      </c>
      <c r="O96" t="s">
        <v>337</v>
      </c>
    </row>
    <row r="97" spans="1:15" x14ac:dyDescent="0.25">
      <c r="A97" s="93" t="s">
        <v>131</v>
      </c>
      <c r="B97" s="93" t="s">
        <v>354</v>
      </c>
      <c r="C97" s="93" t="s">
        <v>252</v>
      </c>
      <c r="D97" s="93" t="s">
        <v>8</v>
      </c>
      <c r="E97" s="93" t="s">
        <v>348</v>
      </c>
      <c r="F97" s="93" t="s">
        <v>168</v>
      </c>
      <c r="G97" s="93" t="s">
        <v>168</v>
      </c>
      <c r="H97">
        <v>11649</v>
      </c>
      <c r="I97" s="93" t="s">
        <v>407</v>
      </c>
      <c r="J97" s="95">
        <v>45591</v>
      </c>
      <c r="K97" s="95">
        <v>45606</v>
      </c>
      <c r="L97" s="95">
        <v>45614</v>
      </c>
      <c r="M97" s="93" t="s">
        <v>199</v>
      </c>
      <c r="N97" s="93" t="s">
        <v>228</v>
      </c>
      <c r="O97" t="s">
        <v>425</v>
      </c>
    </row>
    <row r="98" spans="1:15" x14ac:dyDescent="0.25">
      <c r="A98" s="93" t="s">
        <v>131</v>
      </c>
      <c r="B98" s="93" t="s">
        <v>354</v>
      </c>
      <c r="C98" s="93" t="s">
        <v>252</v>
      </c>
      <c r="D98" s="93" t="s">
        <v>8</v>
      </c>
      <c r="E98" s="93" t="s">
        <v>348</v>
      </c>
      <c r="F98" s="93" t="s">
        <v>168</v>
      </c>
      <c r="G98" s="93" t="s">
        <v>168</v>
      </c>
      <c r="H98">
        <v>11649</v>
      </c>
      <c r="I98" s="93" t="s">
        <v>407</v>
      </c>
      <c r="J98" s="95">
        <v>45591</v>
      </c>
      <c r="K98" s="95">
        <v>45606</v>
      </c>
      <c r="L98" s="95">
        <v>45614</v>
      </c>
      <c r="M98" s="93" t="s">
        <v>199</v>
      </c>
      <c r="N98" s="93" t="s">
        <v>228</v>
      </c>
      <c r="O98" t="s">
        <v>425</v>
      </c>
    </row>
    <row r="99" spans="1:15" x14ac:dyDescent="0.25">
      <c r="A99" s="93" t="s">
        <v>426</v>
      </c>
      <c r="B99" s="93" t="s">
        <v>354</v>
      </c>
      <c r="C99" s="93" t="s">
        <v>370</v>
      </c>
      <c r="D99" s="93" t="s">
        <v>8</v>
      </c>
      <c r="E99" s="93" t="s">
        <v>356</v>
      </c>
      <c r="F99" s="93" t="s">
        <v>167</v>
      </c>
      <c r="G99" s="93" t="s">
        <v>168</v>
      </c>
      <c r="H99">
        <v>5100</v>
      </c>
      <c r="I99" s="93" t="s">
        <v>408</v>
      </c>
      <c r="J99" s="95">
        <v>45593</v>
      </c>
      <c r="K99" s="95">
        <v>45607</v>
      </c>
      <c r="L99" s="95">
        <v>45617</v>
      </c>
      <c r="M99" s="93" t="s">
        <v>199</v>
      </c>
      <c r="N99" s="93" t="s">
        <v>228</v>
      </c>
      <c r="O99" t="s">
        <v>425</v>
      </c>
    </row>
    <row r="100" spans="1:15" x14ac:dyDescent="0.25">
      <c r="A100" s="93" t="s">
        <v>426</v>
      </c>
      <c r="B100" s="93" t="s">
        <v>354</v>
      </c>
      <c r="C100" s="93" t="s">
        <v>370</v>
      </c>
      <c r="D100" s="93" t="s">
        <v>8</v>
      </c>
      <c r="E100" s="93" t="s">
        <v>356</v>
      </c>
      <c r="F100" s="93" t="s">
        <v>167</v>
      </c>
      <c r="G100" s="93" t="s">
        <v>168</v>
      </c>
      <c r="H100">
        <v>5300</v>
      </c>
      <c r="I100" s="93" t="s">
        <v>408</v>
      </c>
      <c r="J100" s="95">
        <v>45593</v>
      </c>
      <c r="K100" s="95">
        <v>45607</v>
      </c>
      <c r="L100" s="95">
        <v>45617</v>
      </c>
      <c r="M100" s="93" t="s">
        <v>199</v>
      </c>
      <c r="N100" s="93" t="s">
        <v>228</v>
      </c>
      <c r="O100" t="s">
        <v>425</v>
      </c>
    </row>
    <row r="101" spans="1:15" x14ac:dyDescent="0.25">
      <c r="A101" s="93" t="s">
        <v>257</v>
      </c>
      <c r="B101" s="93" t="s">
        <v>354</v>
      </c>
      <c r="C101" s="93" t="s">
        <v>409</v>
      </c>
      <c r="D101" s="93" t="s">
        <v>8</v>
      </c>
      <c r="E101" s="93" t="s">
        <v>348</v>
      </c>
      <c r="F101" s="93" t="s">
        <v>167</v>
      </c>
      <c r="G101" s="93" t="s">
        <v>168</v>
      </c>
      <c r="H101">
        <v>12099</v>
      </c>
      <c r="I101" s="93" t="s">
        <v>16</v>
      </c>
      <c r="J101" s="95">
        <v>45607</v>
      </c>
      <c r="K101" s="95">
        <v>45622</v>
      </c>
      <c r="L101" s="95">
        <v>45623</v>
      </c>
      <c r="M101" s="93" t="s">
        <v>199</v>
      </c>
      <c r="N101" s="93" t="s">
        <v>228</v>
      </c>
      <c r="O101" t="s">
        <v>425</v>
      </c>
    </row>
    <row r="102" spans="1:15" x14ac:dyDescent="0.25">
      <c r="A102" s="93" t="s">
        <v>426</v>
      </c>
      <c r="B102" s="93" t="s">
        <v>354</v>
      </c>
      <c r="C102" s="93" t="s">
        <v>224</v>
      </c>
      <c r="D102" s="93" t="s">
        <v>8</v>
      </c>
      <c r="E102" s="93" t="s">
        <v>353</v>
      </c>
      <c r="F102" s="93" t="s">
        <v>168</v>
      </c>
      <c r="G102" s="93" t="s">
        <v>399</v>
      </c>
      <c r="H102">
        <v>15872</v>
      </c>
      <c r="I102" s="93" t="s">
        <v>260</v>
      </c>
      <c r="J102" s="95">
        <v>45604</v>
      </c>
      <c r="K102" s="95">
        <v>-619113</v>
      </c>
      <c r="L102" s="95">
        <v>45610</v>
      </c>
      <c r="M102" s="93" t="s">
        <v>199</v>
      </c>
      <c r="N102" s="93" t="s">
        <v>228</v>
      </c>
      <c r="O102" t="s">
        <v>425</v>
      </c>
    </row>
    <row r="103" spans="1:15" x14ac:dyDescent="0.25">
      <c r="A103" s="93" t="s">
        <v>263</v>
      </c>
      <c r="B103" s="93" t="s">
        <v>354</v>
      </c>
      <c r="C103" s="93" t="s">
        <v>34</v>
      </c>
      <c r="D103" s="93" t="s">
        <v>403</v>
      </c>
      <c r="E103" s="93" t="s">
        <v>356</v>
      </c>
      <c r="F103" s="93" t="s">
        <v>167</v>
      </c>
      <c r="G103" s="93" t="s">
        <v>168</v>
      </c>
      <c r="H103">
        <v>4520</v>
      </c>
      <c r="I103" s="93" t="s">
        <v>85</v>
      </c>
      <c r="J103" s="95">
        <v>45606</v>
      </c>
      <c r="K103" s="95">
        <v>45618</v>
      </c>
      <c r="L103" s="95">
        <v>45617</v>
      </c>
      <c r="M103" s="93" t="s">
        <v>199</v>
      </c>
      <c r="N103" s="93" t="s">
        <v>228</v>
      </c>
      <c r="O103" t="s">
        <v>424</v>
      </c>
    </row>
    <row r="104" spans="1:15" x14ac:dyDescent="0.25">
      <c r="A104" s="93" t="s">
        <v>83</v>
      </c>
      <c r="B104" s="93" t="s">
        <v>373</v>
      </c>
      <c r="C104" s="93" t="s">
        <v>391</v>
      </c>
      <c r="D104" s="93" t="s">
        <v>56</v>
      </c>
      <c r="E104" s="93" t="s">
        <v>348</v>
      </c>
      <c r="F104" s="93" t="s">
        <v>168</v>
      </c>
      <c r="G104" s="93" t="s">
        <v>168</v>
      </c>
      <c r="H104">
        <v>5766</v>
      </c>
      <c r="I104" s="93" t="s">
        <v>85</v>
      </c>
      <c r="J104" s="95">
        <v>45608</v>
      </c>
      <c r="K104" s="95">
        <v>45622</v>
      </c>
      <c r="L104" s="95">
        <v>45621</v>
      </c>
      <c r="M104" s="93" t="s">
        <v>199</v>
      </c>
      <c r="N104" s="93" t="s">
        <v>228</v>
      </c>
      <c r="O104" t="s">
        <v>424</v>
      </c>
    </row>
    <row r="105" spans="1:15" x14ac:dyDescent="0.25">
      <c r="A105" s="93" t="s">
        <v>266</v>
      </c>
      <c r="B105" s="93" t="s">
        <v>354</v>
      </c>
      <c r="C105" s="93" t="s">
        <v>370</v>
      </c>
      <c r="D105" s="93" t="s">
        <v>8</v>
      </c>
      <c r="E105" s="93" t="s">
        <v>356</v>
      </c>
      <c r="F105" s="93" t="s">
        <v>173</v>
      </c>
      <c r="G105" s="93" t="s">
        <v>168</v>
      </c>
      <c r="H105">
        <v>11395</v>
      </c>
      <c r="I105" s="93" t="s">
        <v>16</v>
      </c>
      <c r="J105" s="95">
        <v>45608</v>
      </c>
      <c r="K105" s="95">
        <v>45620</v>
      </c>
      <c r="L105" s="95">
        <v>45623</v>
      </c>
      <c r="M105" s="93" t="s">
        <v>199</v>
      </c>
      <c r="N105" s="93" t="s">
        <v>228</v>
      </c>
      <c r="O105" t="s">
        <v>425</v>
      </c>
    </row>
    <row r="106" spans="1:15" x14ac:dyDescent="0.25">
      <c r="A106" s="93" t="s">
        <v>267</v>
      </c>
      <c r="B106" s="93" t="s">
        <v>354</v>
      </c>
      <c r="C106" s="93" t="s">
        <v>34</v>
      </c>
      <c r="D106" s="93" t="s">
        <v>8</v>
      </c>
      <c r="E106" s="93" t="s">
        <v>348</v>
      </c>
      <c r="F106" s="93" t="s">
        <v>167</v>
      </c>
      <c r="G106" s="93" t="s">
        <v>168</v>
      </c>
      <c r="H106">
        <v>12919</v>
      </c>
      <c r="I106" s="93" t="s">
        <v>16</v>
      </c>
      <c r="J106" s="95">
        <v>45610</v>
      </c>
      <c r="K106" s="95">
        <v>45626</v>
      </c>
      <c r="L106" s="95">
        <v>45623</v>
      </c>
      <c r="M106" s="93" t="s">
        <v>199</v>
      </c>
      <c r="N106" s="93" t="s">
        <v>228</v>
      </c>
      <c r="O106" t="s">
        <v>424</v>
      </c>
    </row>
    <row r="107" spans="1:15" x14ac:dyDescent="0.25">
      <c r="A107" s="93" t="s">
        <v>83</v>
      </c>
      <c r="B107" s="93" t="s">
        <v>373</v>
      </c>
      <c r="C107" s="93" t="s">
        <v>391</v>
      </c>
      <c r="D107" s="93" t="s">
        <v>56</v>
      </c>
      <c r="E107" s="93" t="s">
        <v>348</v>
      </c>
      <c r="F107" s="93" t="s">
        <v>172</v>
      </c>
      <c r="G107" s="93" t="s">
        <v>168</v>
      </c>
      <c r="H107">
        <v>6376</v>
      </c>
      <c r="I107" s="93" t="s">
        <v>85</v>
      </c>
      <c r="J107" s="95">
        <v>45610</v>
      </c>
      <c r="K107" s="95">
        <v>45623</v>
      </c>
      <c r="L107" s="95">
        <v>45621</v>
      </c>
      <c r="M107" s="93" t="s">
        <v>199</v>
      </c>
      <c r="N107" s="93" t="s">
        <v>228</v>
      </c>
      <c r="O107" t="s">
        <v>424</v>
      </c>
    </row>
    <row r="108" spans="1:15" x14ac:dyDescent="0.25">
      <c r="A108" s="93" t="s">
        <v>83</v>
      </c>
      <c r="B108" s="93" t="s">
        <v>354</v>
      </c>
      <c r="C108" s="93" t="s">
        <v>272</v>
      </c>
      <c r="D108" s="93" t="s">
        <v>56</v>
      </c>
      <c r="E108" s="93" t="s">
        <v>348</v>
      </c>
      <c r="F108" s="93" t="s">
        <v>168</v>
      </c>
      <c r="G108" s="93" t="s">
        <v>168</v>
      </c>
      <c r="H108">
        <v>5294</v>
      </c>
      <c r="I108" s="93" t="s">
        <v>85</v>
      </c>
      <c r="J108" s="95">
        <v>45610</v>
      </c>
      <c r="K108" s="95">
        <v>45623</v>
      </c>
      <c r="L108" s="95">
        <v>45621</v>
      </c>
      <c r="M108" s="93" t="s">
        <v>199</v>
      </c>
      <c r="N108" s="93" t="s">
        <v>228</v>
      </c>
      <c r="O108" t="s">
        <v>424</v>
      </c>
    </row>
    <row r="109" spans="1:15" x14ac:dyDescent="0.25">
      <c r="A109" s="93" t="s">
        <v>275</v>
      </c>
      <c r="B109" s="93" t="s">
        <v>341</v>
      </c>
      <c r="C109" s="93" t="s">
        <v>352</v>
      </c>
      <c r="D109" s="93" t="s">
        <v>276</v>
      </c>
      <c r="E109" s="93" t="s">
        <v>348</v>
      </c>
      <c r="F109" s="93" t="s">
        <v>167</v>
      </c>
      <c r="G109" s="93" t="s">
        <v>168</v>
      </c>
      <c r="H109">
        <v>7396</v>
      </c>
      <c r="I109" s="93" t="s">
        <v>16</v>
      </c>
      <c r="J109" s="95">
        <v>45613</v>
      </c>
      <c r="K109" s="95">
        <v>45624</v>
      </c>
      <c r="L109" s="95">
        <v>45622</v>
      </c>
      <c r="M109" s="93" t="s">
        <v>199</v>
      </c>
      <c r="N109" s="93" t="s">
        <v>228</v>
      </c>
      <c r="O109" t="s">
        <v>424</v>
      </c>
    </row>
    <row r="110" spans="1:15" x14ac:dyDescent="0.25">
      <c r="A110" s="93" t="s">
        <v>131</v>
      </c>
      <c r="B110" s="93" t="s">
        <v>341</v>
      </c>
      <c r="C110" s="93" t="s">
        <v>352</v>
      </c>
      <c r="D110" s="93" t="s">
        <v>8</v>
      </c>
      <c r="E110" s="93" t="s">
        <v>348</v>
      </c>
      <c r="F110" s="93" t="s">
        <v>168</v>
      </c>
      <c r="G110" s="93" t="s">
        <v>168</v>
      </c>
      <c r="H110">
        <v>13439</v>
      </c>
      <c r="I110" s="93" t="s">
        <v>410</v>
      </c>
      <c r="J110" s="95">
        <v>45616</v>
      </c>
      <c r="K110" s="95">
        <v>45631</v>
      </c>
      <c r="L110" s="95">
        <v>45622</v>
      </c>
      <c r="M110" s="93" t="s">
        <v>199</v>
      </c>
      <c r="N110" s="93" t="s">
        <v>228</v>
      </c>
      <c r="O110" t="s">
        <v>424</v>
      </c>
    </row>
    <row r="111" spans="1:15" x14ac:dyDescent="0.25">
      <c r="A111" s="93" t="s">
        <v>427</v>
      </c>
      <c r="B111" s="93" t="s">
        <v>354</v>
      </c>
      <c r="C111" s="93" t="s">
        <v>42</v>
      </c>
      <c r="D111" s="93" t="s">
        <v>43</v>
      </c>
      <c r="E111" s="93" t="s">
        <v>356</v>
      </c>
      <c r="F111" s="93" t="s">
        <v>168</v>
      </c>
      <c r="G111" s="93" t="s">
        <v>168</v>
      </c>
      <c r="H111">
        <v>5100</v>
      </c>
      <c r="I111" s="93" t="s">
        <v>85</v>
      </c>
      <c r="J111" s="95">
        <v>45610</v>
      </c>
      <c r="K111" s="95">
        <v>45634</v>
      </c>
      <c r="L111" s="95"/>
      <c r="M111" s="93" t="s">
        <v>199</v>
      </c>
      <c r="N111" s="93" t="s">
        <v>198</v>
      </c>
      <c r="O111" t="s">
        <v>337</v>
      </c>
    </row>
    <row r="112" spans="1:15" x14ac:dyDescent="0.25">
      <c r="A112" s="93" t="s">
        <v>281</v>
      </c>
      <c r="B112" s="93" t="s">
        <v>354</v>
      </c>
      <c r="C112" s="93" t="s">
        <v>360</v>
      </c>
      <c r="D112" s="93" t="s">
        <v>282</v>
      </c>
      <c r="E112" s="93" t="s">
        <v>356</v>
      </c>
      <c r="F112" s="93" t="s">
        <v>381</v>
      </c>
      <c r="G112" s="93" t="s">
        <v>167</v>
      </c>
      <c r="H112">
        <v>6000</v>
      </c>
      <c r="I112" s="93" t="s">
        <v>411</v>
      </c>
      <c r="J112" s="95">
        <v>45618</v>
      </c>
      <c r="K112" s="95">
        <v>45628</v>
      </c>
      <c r="L112" s="95">
        <v>45623</v>
      </c>
      <c r="M112" s="93" t="s">
        <v>199</v>
      </c>
      <c r="N112" s="93" t="s">
        <v>228</v>
      </c>
      <c r="O112" t="s">
        <v>424</v>
      </c>
    </row>
    <row r="113" spans="1:15" x14ac:dyDescent="0.25">
      <c r="A113" s="93" t="s">
        <v>285</v>
      </c>
      <c r="B113" s="93" t="s">
        <v>354</v>
      </c>
      <c r="C113" s="93" t="s">
        <v>412</v>
      </c>
      <c r="D113" s="93" t="s">
        <v>8</v>
      </c>
      <c r="E113" s="93" t="s">
        <v>356</v>
      </c>
      <c r="F113" s="93" t="s">
        <v>172</v>
      </c>
      <c r="G113" s="93" t="s">
        <v>168</v>
      </c>
      <c r="H113">
        <v>10885</v>
      </c>
      <c r="I113" s="93" t="s">
        <v>413</v>
      </c>
      <c r="J113" s="95">
        <v>45620</v>
      </c>
      <c r="K113" s="95">
        <v>45631</v>
      </c>
      <c r="L113" s="95">
        <v>45636</v>
      </c>
      <c r="M113" s="93" t="s">
        <v>199</v>
      </c>
      <c r="N113" s="93" t="s">
        <v>228</v>
      </c>
      <c r="O113" t="s">
        <v>425</v>
      </c>
    </row>
    <row r="114" spans="1:15" x14ac:dyDescent="0.25">
      <c r="A114" s="93" t="s">
        <v>427</v>
      </c>
      <c r="B114" s="93" t="s">
        <v>354</v>
      </c>
      <c r="C114" s="93" t="s">
        <v>42</v>
      </c>
      <c r="D114" s="93" t="s">
        <v>43</v>
      </c>
      <c r="E114" s="93" t="s">
        <v>414</v>
      </c>
      <c r="F114" s="93" t="s">
        <v>168</v>
      </c>
      <c r="G114" s="93" t="s">
        <v>334</v>
      </c>
      <c r="H114">
        <v>6000</v>
      </c>
      <c r="I114" s="93" t="s">
        <v>415</v>
      </c>
      <c r="J114" s="95">
        <v>45615</v>
      </c>
      <c r="K114" s="95">
        <v>45631</v>
      </c>
      <c r="L114" s="95">
        <v>45616</v>
      </c>
      <c r="M114" s="93" t="s">
        <v>289</v>
      </c>
      <c r="N114" s="93" t="s">
        <v>228</v>
      </c>
      <c r="O114" t="s">
        <v>424</v>
      </c>
    </row>
    <row r="115" spans="1:15" x14ac:dyDescent="0.25">
      <c r="A115" s="93" t="s">
        <v>290</v>
      </c>
      <c r="B115" s="93" t="s">
        <v>344</v>
      </c>
      <c r="C115" s="93" t="s">
        <v>416</v>
      </c>
      <c r="D115" s="93" t="s">
        <v>8</v>
      </c>
      <c r="E115" s="93" t="s">
        <v>350</v>
      </c>
      <c r="F115" s="93" t="s">
        <v>168</v>
      </c>
      <c r="G115" s="93" t="s">
        <v>218</v>
      </c>
      <c r="H115">
        <v>8449</v>
      </c>
      <c r="I115" s="93" t="s">
        <v>16</v>
      </c>
      <c r="J115" s="95">
        <v>45623</v>
      </c>
      <c r="K115" s="95">
        <v>45636</v>
      </c>
      <c r="L115" s="95">
        <v>45649</v>
      </c>
      <c r="M115" s="93" t="s">
        <v>28</v>
      </c>
      <c r="N115" s="93" t="s">
        <v>228</v>
      </c>
      <c r="O115" t="s">
        <v>425</v>
      </c>
    </row>
    <row r="116" spans="1:15" x14ac:dyDescent="0.25">
      <c r="A116" s="93" t="s">
        <v>294</v>
      </c>
      <c r="B116" s="93" t="s">
        <v>354</v>
      </c>
      <c r="C116" s="93" t="s">
        <v>366</v>
      </c>
      <c r="D116" s="93" t="s">
        <v>8</v>
      </c>
      <c r="E116" s="93" t="s">
        <v>417</v>
      </c>
      <c r="F116" s="93" t="s">
        <v>167</v>
      </c>
      <c r="G116" s="93" t="s">
        <v>297</v>
      </c>
      <c r="H116">
        <v>10249</v>
      </c>
      <c r="I116" s="93" t="s">
        <v>418</v>
      </c>
      <c r="J116" s="95">
        <v>45623</v>
      </c>
      <c r="K116" s="95">
        <v>45636</v>
      </c>
      <c r="L116" s="95">
        <v>45645</v>
      </c>
      <c r="M116" s="93" t="s">
        <v>199</v>
      </c>
      <c r="N116" s="93" t="s">
        <v>228</v>
      </c>
      <c r="O116" t="s">
        <v>425</v>
      </c>
    </row>
    <row r="117" spans="1:15" x14ac:dyDescent="0.25">
      <c r="A117" s="93" t="s">
        <v>298</v>
      </c>
      <c r="B117" s="93" t="s">
        <v>344</v>
      </c>
      <c r="C117" s="93" t="s">
        <v>419</v>
      </c>
      <c r="D117" s="93" t="s">
        <v>8</v>
      </c>
      <c r="E117" s="93" t="s">
        <v>348</v>
      </c>
      <c r="F117" s="93" t="s">
        <v>168</v>
      </c>
      <c r="G117" s="93" t="s">
        <v>168</v>
      </c>
      <c r="H117">
        <v>14905</v>
      </c>
      <c r="I117" s="93" t="s">
        <v>16</v>
      </c>
      <c r="J117" s="95">
        <v>45625</v>
      </c>
      <c r="K117" s="95">
        <v>45641</v>
      </c>
      <c r="L117" s="95"/>
      <c r="M117" s="93" t="s">
        <v>337</v>
      </c>
      <c r="N117" s="93" t="s">
        <v>236</v>
      </c>
      <c r="O117" t="s">
        <v>337</v>
      </c>
    </row>
    <row r="118" spans="1:15" x14ac:dyDescent="0.25">
      <c r="A118" s="93" t="s">
        <v>300</v>
      </c>
      <c r="B118" s="93" t="s">
        <v>354</v>
      </c>
      <c r="C118" s="93" t="s">
        <v>67</v>
      </c>
      <c r="D118" s="93" t="s">
        <v>8</v>
      </c>
      <c r="E118" s="93" t="s">
        <v>417</v>
      </c>
      <c r="F118" s="93" t="s">
        <v>168</v>
      </c>
      <c r="G118" s="93" t="s">
        <v>302</v>
      </c>
      <c r="H118">
        <v>10249</v>
      </c>
      <c r="I118" s="93" t="s">
        <v>16</v>
      </c>
      <c r="J118" s="95">
        <v>45626</v>
      </c>
      <c r="K118" s="95">
        <v>45638</v>
      </c>
      <c r="L118" s="95"/>
      <c r="M118" s="93" t="s">
        <v>337</v>
      </c>
      <c r="N118" s="93" t="s">
        <v>236</v>
      </c>
      <c r="O118" t="s">
        <v>337</v>
      </c>
    </row>
    <row r="119" spans="1:15" x14ac:dyDescent="0.25">
      <c r="A119" s="93" t="s">
        <v>303</v>
      </c>
      <c r="B119" s="93" t="s">
        <v>354</v>
      </c>
      <c r="C119" s="93" t="s">
        <v>67</v>
      </c>
      <c r="D119" s="93" t="s">
        <v>8</v>
      </c>
      <c r="E119" s="93" t="s">
        <v>376</v>
      </c>
      <c r="F119" s="93" t="s">
        <v>168</v>
      </c>
      <c r="G119" s="93" t="s">
        <v>305</v>
      </c>
      <c r="H119">
        <v>9029</v>
      </c>
      <c r="I119" s="93" t="s">
        <v>16</v>
      </c>
      <c r="J119" s="95">
        <v>45626</v>
      </c>
      <c r="K119" s="95">
        <v>45638</v>
      </c>
      <c r="L119" s="95"/>
      <c r="M119" s="93" t="s">
        <v>337</v>
      </c>
      <c r="N119" s="93" t="s">
        <v>236</v>
      </c>
      <c r="O119" t="s">
        <v>337</v>
      </c>
    </row>
    <row r="120" spans="1:15" x14ac:dyDescent="0.25">
      <c r="A120" s="93" t="s">
        <v>306</v>
      </c>
      <c r="B120" s="93" t="s">
        <v>212</v>
      </c>
      <c r="C120" s="93" t="s">
        <v>144</v>
      </c>
      <c r="D120" s="93" t="s">
        <v>8</v>
      </c>
      <c r="E120" s="93" t="s">
        <v>364</v>
      </c>
      <c r="F120" s="93" t="s">
        <v>168</v>
      </c>
      <c r="G120" s="93" t="s">
        <v>218</v>
      </c>
      <c r="H120">
        <v>9029</v>
      </c>
      <c r="I120" s="93" t="s">
        <v>16</v>
      </c>
      <c r="J120" s="95">
        <v>45626</v>
      </c>
      <c r="K120" s="95">
        <v>45638</v>
      </c>
      <c r="L120" s="95"/>
      <c r="M120" s="93" t="s">
        <v>199</v>
      </c>
      <c r="N120" s="93" t="s">
        <v>198</v>
      </c>
      <c r="O120" t="s">
        <v>337</v>
      </c>
    </row>
    <row r="121" spans="1:15" x14ac:dyDescent="0.25">
      <c r="A121" s="93" t="s">
        <v>309</v>
      </c>
      <c r="B121" s="93" t="s">
        <v>354</v>
      </c>
      <c r="C121" s="93" t="s">
        <v>310</v>
      </c>
      <c r="D121" s="93" t="s">
        <v>8</v>
      </c>
      <c r="E121" s="93" t="s">
        <v>348</v>
      </c>
      <c r="F121" s="93" t="s">
        <v>167</v>
      </c>
      <c r="G121" s="93" t="s">
        <v>168</v>
      </c>
      <c r="H121">
        <v>12099</v>
      </c>
      <c r="I121" s="93" t="s">
        <v>16</v>
      </c>
      <c r="J121" s="95">
        <v>45628</v>
      </c>
      <c r="K121" s="95">
        <v>45643</v>
      </c>
      <c r="L121" s="95"/>
      <c r="M121" s="93" t="s">
        <v>337</v>
      </c>
      <c r="N121" s="93" t="s">
        <v>236</v>
      </c>
      <c r="O121" t="s">
        <v>337</v>
      </c>
    </row>
    <row r="122" spans="1:15" x14ac:dyDescent="0.25">
      <c r="A122" s="93" t="s">
        <v>83</v>
      </c>
      <c r="B122" s="93" t="s">
        <v>373</v>
      </c>
      <c r="C122" s="93" t="s">
        <v>391</v>
      </c>
      <c r="D122" s="93" t="s">
        <v>56</v>
      </c>
      <c r="E122" s="93" t="s">
        <v>348</v>
      </c>
      <c r="F122" s="93" t="s">
        <v>170</v>
      </c>
      <c r="G122" s="93" t="s">
        <v>168</v>
      </c>
      <c r="H122">
        <v>5217</v>
      </c>
      <c r="I122" s="93" t="s">
        <v>85</v>
      </c>
      <c r="J122" s="95">
        <v>45627</v>
      </c>
      <c r="K122" s="95">
        <v>45640</v>
      </c>
      <c r="L122" s="95">
        <v>45636</v>
      </c>
      <c r="M122" s="93" t="s">
        <v>199</v>
      </c>
      <c r="N122" s="93" t="s">
        <v>228</v>
      </c>
      <c r="O122" t="s">
        <v>424</v>
      </c>
    </row>
    <row r="123" spans="1:15" x14ac:dyDescent="0.25">
      <c r="A123" s="93" t="s">
        <v>312</v>
      </c>
      <c r="B123" s="93" t="s">
        <v>373</v>
      </c>
      <c r="C123" s="93" t="s">
        <v>135</v>
      </c>
      <c r="D123" s="93" t="s">
        <v>8</v>
      </c>
      <c r="E123" s="93" t="s">
        <v>343</v>
      </c>
      <c r="F123" s="93" t="s">
        <v>168</v>
      </c>
      <c r="G123" s="93" t="s">
        <v>168</v>
      </c>
      <c r="H123">
        <v>10249</v>
      </c>
      <c r="I123" s="93" t="s">
        <v>418</v>
      </c>
      <c r="J123" s="95">
        <v>45630</v>
      </c>
      <c r="K123" s="95">
        <v>45640</v>
      </c>
      <c r="L123" s="95">
        <v>45645</v>
      </c>
      <c r="M123" s="93" t="s">
        <v>199</v>
      </c>
      <c r="N123" s="93" t="s">
        <v>228</v>
      </c>
      <c r="O123" t="s">
        <v>425</v>
      </c>
    </row>
    <row r="124" spans="1:15" x14ac:dyDescent="0.25">
      <c r="A124" s="93" t="s">
        <v>313</v>
      </c>
      <c r="B124" s="93" t="s">
        <v>354</v>
      </c>
      <c r="C124" s="93" t="s">
        <v>34</v>
      </c>
      <c r="D124" s="93" t="s">
        <v>8</v>
      </c>
      <c r="E124" s="93" t="s">
        <v>348</v>
      </c>
      <c r="F124" s="93" t="s">
        <v>168</v>
      </c>
      <c r="G124" s="93" t="s">
        <v>168</v>
      </c>
      <c r="H124">
        <v>10445</v>
      </c>
      <c r="I124" s="93" t="s">
        <v>420</v>
      </c>
      <c r="J124" s="95">
        <v>45635</v>
      </c>
      <c r="K124" s="95">
        <v>45657</v>
      </c>
      <c r="L124" s="95">
        <v>45638</v>
      </c>
      <c r="M124" s="93" t="s">
        <v>199</v>
      </c>
      <c r="N124" s="93" t="s">
        <v>228</v>
      </c>
      <c r="O124" t="s">
        <v>424</v>
      </c>
    </row>
    <row r="125" spans="1:15" x14ac:dyDescent="0.25">
      <c r="A125" s="93" t="s">
        <v>315</v>
      </c>
      <c r="B125" s="93" t="s">
        <v>354</v>
      </c>
      <c r="C125" s="93" t="s">
        <v>67</v>
      </c>
      <c r="D125" s="93" t="s">
        <v>8</v>
      </c>
      <c r="E125" s="93" t="s">
        <v>417</v>
      </c>
      <c r="F125" s="93" t="s">
        <v>168</v>
      </c>
      <c r="G125" s="93" t="s">
        <v>302</v>
      </c>
      <c r="H125">
        <v>11199</v>
      </c>
      <c r="I125" s="93" t="s">
        <v>421</v>
      </c>
      <c r="J125" s="95">
        <v>45638</v>
      </c>
      <c r="K125" s="95">
        <v>45650</v>
      </c>
      <c r="L125" s="95">
        <v>45645</v>
      </c>
      <c r="M125" s="93" t="s">
        <v>199</v>
      </c>
      <c r="N125" s="93" t="s">
        <v>228</v>
      </c>
      <c r="O125" t="s">
        <v>424</v>
      </c>
    </row>
    <row r="126" spans="1:15" x14ac:dyDescent="0.25">
      <c r="A126" s="93" t="s">
        <v>317</v>
      </c>
      <c r="B126" s="93" t="s">
        <v>341</v>
      </c>
      <c r="C126" s="93" t="s">
        <v>352</v>
      </c>
      <c r="D126" s="93" t="s">
        <v>8</v>
      </c>
      <c r="E126" s="93" t="s">
        <v>348</v>
      </c>
      <c r="F126" s="93" t="s">
        <v>168</v>
      </c>
      <c r="G126" s="93" t="s">
        <v>168</v>
      </c>
      <c r="H126">
        <v>13099</v>
      </c>
      <c r="I126" s="93" t="s">
        <v>422</v>
      </c>
      <c r="J126" s="95">
        <v>45638</v>
      </c>
      <c r="K126" s="95">
        <v>45654</v>
      </c>
      <c r="L126" s="95">
        <v>45655</v>
      </c>
      <c r="M126" s="93" t="s">
        <v>199</v>
      </c>
      <c r="N126" s="93" t="s">
        <v>228</v>
      </c>
      <c r="O126" t="s">
        <v>425</v>
      </c>
    </row>
    <row r="127" spans="1:15" x14ac:dyDescent="0.25">
      <c r="A127" s="93" t="s">
        <v>426</v>
      </c>
      <c r="B127" s="93" t="s">
        <v>354</v>
      </c>
      <c r="C127" s="93" t="s">
        <v>224</v>
      </c>
      <c r="D127" s="93" t="s">
        <v>8</v>
      </c>
      <c r="E127" s="93" t="s">
        <v>353</v>
      </c>
      <c r="F127" s="93" t="s">
        <v>168</v>
      </c>
      <c r="G127" s="93" t="s">
        <v>318</v>
      </c>
      <c r="H127">
        <v>8700</v>
      </c>
      <c r="I127" s="93" t="s">
        <v>85</v>
      </c>
      <c r="J127" s="95">
        <v>45640</v>
      </c>
      <c r="K127" s="95">
        <v>45662</v>
      </c>
      <c r="L127" s="95">
        <v>45655</v>
      </c>
      <c r="M127" s="93" t="s">
        <v>199</v>
      </c>
      <c r="N127" s="93" t="s">
        <v>228</v>
      </c>
      <c r="O127" t="s">
        <v>424</v>
      </c>
    </row>
  </sheetData>
  <phoneticPr fontId="2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5F984-696C-4E3B-86FE-09015157031C}">
  <sheetPr codeName="Sheet4"/>
  <dimension ref="A1:AX81"/>
  <sheetViews>
    <sheetView topLeftCell="R1" workbookViewId="0">
      <selection activeCell="AG7" sqref="AG7:AG9"/>
    </sheetView>
  </sheetViews>
  <sheetFormatPr defaultRowHeight="15" x14ac:dyDescent="0.25"/>
  <cols>
    <col min="1" max="1" width="11.5703125" bestFit="1" customWidth="1"/>
    <col min="3" max="3" width="15.5703125" customWidth="1"/>
    <col min="7" max="7" width="9.140625" style="96"/>
    <col min="8" max="8" width="15.5703125" bestFit="1" customWidth="1"/>
    <col min="10" max="10" width="9.140625" customWidth="1"/>
    <col min="13" max="13" width="9.140625" style="96"/>
    <col min="14" max="14" width="14.42578125" bestFit="1" customWidth="1"/>
    <col min="19" max="19" width="9.140625" style="96"/>
    <col min="20" max="20" width="9.5703125" bestFit="1" customWidth="1"/>
    <col min="25" max="25" width="9.140625" style="96"/>
    <col min="26" max="26" width="13.140625" bestFit="1" customWidth="1"/>
    <col min="27" max="27" width="8" bestFit="1" customWidth="1"/>
    <col min="31" max="31" width="9.140625" style="96"/>
    <col min="32" max="32" width="13.140625" bestFit="1" customWidth="1"/>
    <col min="33" max="33" width="10.42578125" bestFit="1" customWidth="1"/>
    <col min="34" max="36" width="16.28515625" bestFit="1" customWidth="1"/>
    <col min="37" max="37" width="16.28515625" style="96" bestFit="1" customWidth="1"/>
    <col min="38" max="38" width="11.28515625" bestFit="1" customWidth="1"/>
    <col min="39" max="39" width="14.28515625" bestFit="1" customWidth="1"/>
    <col min="40" max="41" width="16.28515625" bestFit="1" customWidth="1"/>
    <col min="42" max="42" width="11.28515625" style="96" bestFit="1" customWidth="1"/>
    <col min="43" max="43" width="10.28515625" bestFit="1" customWidth="1"/>
    <col min="44" max="44" width="9.140625" bestFit="1" customWidth="1"/>
    <col min="45" max="49" width="16.28515625" bestFit="1" customWidth="1"/>
    <col min="50" max="50" width="16.28515625" style="96" bestFit="1" customWidth="1"/>
    <col min="51" max="90" width="16.28515625" bestFit="1" customWidth="1"/>
    <col min="91" max="91" width="11.28515625" bestFit="1" customWidth="1"/>
  </cols>
  <sheetData>
    <row r="1" spans="1:49" ht="15" customHeight="1" x14ac:dyDescent="0.25">
      <c r="A1" s="105" t="s">
        <v>435</v>
      </c>
      <c r="B1" s="105"/>
      <c r="C1" s="105"/>
      <c r="D1" s="105"/>
      <c r="E1" s="105"/>
      <c r="F1" s="105"/>
      <c r="H1" s="105" t="s">
        <v>437</v>
      </c>
      <c r="I1" s="105"/>
      <c r="J1" s="105"/>
      <c r="K1" s="105"/>
      <c r="L1" s="105"/>
      <c r="N1" s="105" t="s">
        <v>438</v>
      </c>
      <c r="O1" s="105"/>
      <c r="P1" s="105"/>
      <c r="Q1" s="105"/>
      <c r="R1" s="105"/>
      <c r="T1" s="105" t="s">
        <v>439</v>
      </c>
      <c r="U1" s="105"/>
      <c r="V1" s="105"/>
      <c r="W1" s="105"/>
      <c r="X1" s="105"/>
      <c r="Z1" s="105" t="s">
        <v>494</v>
      </c>
      <c r="AA1" s="105"/>
      <c r="AB1" s="105"/>
      <c r="AC1" s="105"/>
      <c r="AD1" s="105"/>
      <c r="AF1" s="105" t="s">
        <v>476</v>
      </c>
      <c r="AG1" s="105"/>
      <c r="AH1" s="105"/>
      <c r="AI1" s="105"/>
      <c r="AJ1" s="105"/>
      <c r="AL1" s="105" t="s">
        <v>488</v>
      </c>
      <c r="AM1" s="105"/>
      <c r="AN1" s="105"/>
      <c r="AO1" s="105"/>
      <c r="AQ1" s="105" t="s">
        <v>475</v>
      </c>
      <c r="AR1" s="105"/>
      <c r="AS1" s="105"/>
      <c r="AT1" s="105"/>
      <c r="AU1" s="105"/>
      <c r="AV1" s="105"/>
      <c r="AW1" s="105"/>
    </row>
    <row r="2" spans="1:49" ht="15" customHeight="1" x14ac:dyDescent="0.25">
      <c r="A2" s="105"/>
      <c r="B2" s="105"/>
      <c r="C2" s="105"/>
      <c r="D2" s="105"/>
      <c r="E2" s="105"/>
      <c r="F2" s="105"/>
      <c r="H2" s="105"/>
      <c r="I2" s="105"/>
      <c r="J2" s="105"/>
      <c r="K2" s="105"/>
      <c r="L2" s="105"/>
      <c r="N2" s="105"/>
      <c r="O2" s="105"/>
      <c r="P2" s="105"/>
      <c r="Q2" s="105"/>
      <c r="R2" s="105"/>
      <c r="T2" s="105"/>
      <c r="U2" s="105"/>
      <c r="V2" s="105"/>
      <c r="W2" s="105"/>
      <c r="X2" s="105"/>
      <c r="Z2" s="105"/>
      <c r="AA2" s="105"/>
      <c r="AB2" s="105"/>
      <c r="AC2" s="105"/>
      <c r="AD2" s="105"/>
      <c r="AF2" s="105"/>
      <c r="AG2" s="105"/>
      <c r="AH2" s="105"/>
      <c r="AI2" s="105"/>
      <c r="AJ2" s="105"/>
      <c r="AL2" s="105"/>
      <c r="AM2" s="105"/>
      <c r="AN2" s="105"/>
      <c r="AO2" s="105"/>
      <c r="AQ2" s="105"/>
      <c r="AR2" s="105"/>
      <c r="AS2" s="105"/>
      <c r="AT2" s="105"/>
      <c r="AU2" s="105"/>
      <c r="AV2" s="105"/>
      <c r="AW2" s="105"/>
    </row>
    <row r="3" spans="1:49" x14ac:dyDescent="0.25">
      <c r="A3" s="93"/>
    </row>
    <row r="5" spans="1:49" x14ac:dyDescent="0.25">
      <c r="N5" t="s">
        <v>487</v>
      </c>
      <c r="Z5" s="98" t="s">
        <v>483</v>
      </c>
      <c r="AA5" t="s">
        <v>484</v>
      </c>
      <c r="AL5" s="98" t="s">
        <v>490</v>
      </c>
      <c r="AM5" t="s">
        <v>436</v>
      </c>
    </row>
    <row r="6" spans="1:49" x14ac:dyDescent="0.25">
      <c r="A6" t="s">
        <v>423</v>
      </c>
      <c r="H6" s="98" t="s">
        <v>440</v>
      </c>
      <c r="J6">
        <f>COUNTA(H7:H81)</f>
        <v>75</v>
      </c>
      <c r="N6" s="97">
        <v>10255.442979682541</v>
      </c>
      <c r="P6" s="97">
        <f>N6</f>
        <v>10255.442979682541</v>
      </c>
      <c r="T6" t="s">
        <v>486</v>
      </c>
      <c r="Z6" s="99" t="s">
        <v>414</v>
      </c>
      <c r="AA6" s="100">
        <v>6000</v>
      </c>
      <c r="AF6" s="98" t="s">
        <v>482</v>
      </c>
      <c r="AG6" t="s">
        <v>485</v>
      </c>
      <c r="AL6" s="99" t="s">
        <v>489</v>
      </c>
      <c r="AM6" s="100">
        <v>31775</v>
      </c>
    </row>
    <row r="7" spans="1:49" ht="18.75" x14ac:dyDescent="0.3">
      <c r="A7" s="101">
        <v>1292185.81544</v>
      </c>
      <c r="C7" s="102">
        <f>A7</f>
        <v>1292185.81544</v>
      </c>
      <c r="H7" s="99" t="s">
        <v>441</v>
      </c>
      <c r="T7" s="106">
        <v>126</v>
      </c>
      <c r="V7">
        <f>T7</f>
        <v>126</v>
      </c>
      <c r="Z7" s="99" t="s">
        <v>368</v>
      </c>
      <c r="AA7" s="100">
        <v>9300</v>
      </c>
      <c r="AF7" s="99" t="s">
        <v>424</v>
      </c>
      <c r="AG7" s="104">
        <v>0.32539682539682541</v>
      </c>
      <c r="AL7" s="99" t="s">
        <v>477</v>
      </c>
      <c r="AM7" s="100">
        <v>105253</v>
      </c>
      <c r="AQ7" s="98" t="s">
        <v>493</v>
      </c>
      <c r="AR7" t="s">
        <v>423</v>
      </c>
    </row>
    <row r="8" spans="1:49" x14ac:dyDescent="0.25">
      <c r="H8" s="99" t="s">
        <v>442</v>
      </c>
      <c r="Z8" s="99" t="s">
        <v>219</v>
      </c>
      <c r="AA8" s="100">
        <v>9300</v>
      </c>
      <c r="AF8" s="99" t="s">
        <v>425</v>
      </c>
      <c r="AG8" s="104">
        <v>0.5</v>
      </c>
      <c r="AL8" s="99" t="s">
        <v>478</v>
      </c>
      <c r="AM8" s="100">
        <v>670451</v>
      </c>
      <c r="AQ8" s="99" t="s">
        <v>8</v>
      </c>
      <c r="AR8" s="100">
        <v>1063608</v>
      </c>
    </row>
    <row r="9" spans="1:49" ht="15.75" x14ac:dyDescent="0.25">
      <c r="H9" s="99" t="s">
        <v>443</v>
      </c>
      <c r="J9" s="103">
        <f>J6</f>
        <v>75</v>
      </c>
      <c r="Z9" s="99" t="s">
        <v>396</v>
      </c>
      <c r="AA9" s="100">
        <v>10000</v>
      </c>
      <c r="AF9" s="99" t="s">
        <v>337</v>
      </c>
      <c r="AG9" s="104">
        <v>0.17460317460317459</v>
      </c>
      <c r="AL9" s="99" t="s">
        <v>479</v>
      </c>
      <c r="AM9" s="100">
        <v>228727.81544000001</v>
      </c>
      <c r="AQ9" s="99" t="s">
        <v>43</v>
      </c>
      <c r="AR9" s="100">
        <v>82900</v>
      </c>
    </row>
    <row r="10" spans="1:49" x14ac:dyDescent="0.25">
      <c r="H10" s="99" t="s">
        <v>298</v>
      </c>
      <c r="Z10" s="99" t="s">
        <v>160</v>
      </c>
      <c r="AA10" s="100">
        <v>22000</v>
      </c>
      <c r="AF10" s="99" t="s">
        <v>474</v>
      </c>
      <c r="AG10" s="104">
        <v>1</v>
      </c>
      <c r="AL10" s="99" t="s">
        <v>480</v>
      </c>
      <c r="AM10" s="100">
        <v>184971</v>
      </c>
      <c r="AQ10" s="99" t="s">
        <v>491</v>
      </c>
      <c r="AR10" s="100">
        <v>68731.91</v>
      </c>
    </row>
    <row r="11" spans="1:49" x14ac:dyDescent="0.25">
      <c r="H11" s="99" t="s">
        <v>444</v>
      </c>
      <c r="Z11" s="99" t="s">
        <v>157</v>
      </c>
      <c r="AA11" s="100">
        <v>24940</v>
      </c>
      <c r="AL11" s="99" t="s">
        <v>481</v>
      </c>
      <c r="AM11" s="100">
        <v>71008</v>
      </c>
      <c r="AQ11" s="99" t="s">
        <v>212</v>
      </c>
      <c r="AR11" s="100">
        <v>32444.905439999999</v>
      </c>
    </row>
    <row r="12" spans="1:49" x14ac:dyDescent="0.25">
      <c r="H12" s="99" t="s">
        <v>196</v>
      </c>
      <c r="Z12" s="99" t="s">
        <v>358</v>
      </c>
      <c r="AA12" s="100">
        <v>28000</v>
      </c>
      <c r="AL12" s="99" t="s">
        <v>474</v>
      </c>
      <c r="AM12" s="100">
        <v>1292185.81544</v>
      </c>
      <c r="AQ12" s="99" t="s">
        <v>282</v>
      </c>
      <c r="AR12" s="100">
        <v>27450</v>
      </c>
    </row>
    <row r="13" spans="1:49" x14ac:dyDescent="0.25">
      <c r="H13" s="99" t="s">
        <v>445</v>
      </c>
      <c r="Z13" s="99" t="s">
        <v>417</v>
      </c>
      <c r="AA13" s="100">
        <v>31697</v>
      </c>
      <c r="AQ13" s="99" t="s">
        <v>403</v>
      </c>
      <c r="AR13" s="100">
        <v>9655</v>
      </c>
    </row>
    <row r="14" spans="1:49" x14ac:dyDescent="0.25">
      <c r="H14" s="99" t="s">
        <v>446</v>
      </c>
      <c r="Z14" s="99" t="s">
        <v>376</v>
      </c>
      <c r="AA14" s="100">
        <v>34076</v>
      </c>
      <c r="AQ14" s="99" t="s">
        <v>492</v>
      </c>
      <c r="AR14" s="100">
        <v>7396</v>
      </c>
    </row>
    <row r="15" spans="1:49" x14ac:dyDescent="0.25">
      <c r="H15" s="99" t="s">
        <v>210</v>
      </c>
      <c r="Z15" s="99" t="s">
        <v>379</v>
      </c>
      <c r="AA15" s="100">
        <v>43298</v>
      </c>
    </row>
    <row r="16" spans="1:49" x14ac:dyDescent="0.25">
      <c r="H16" s="99" t="s">
        <v>428</v>
      </c>
      <c r="Z16" s="99" t="s">
        <v>364</v>
      </c>
      <c r="AA16" s="100">
        <v>60093</v>
      </c>
    </row>
    <row r="17" spans="8:27" x14ac:dyDescent="0.25">
      <c r="H17" s="99" t="s">
        <v>83</v>
      </c>
      <c r="Z17" s="99" t="s">
        <v>343</v>
      </c>
      <c r="AA17" s="100">
        <v>72265</v>
      </c>
    </row>
    <row r="18" spans="8:27" x14ac:dyDescent="0.25">
      <c r="H18" s="99" t="s">
        <v>447</v>
      </c>
      <c r="Z18" s="99" t="s">
        <v>353</v>
      </c>
      <c r="AA18" s="100">
        <v>213234</v>
      </c>
    </row>
    <row r="19" spans="8:27" x14ac:dyDescent="0.25">
      <c r="H19" s="99" t="s">
        <v>448</v>
      </c>
      <c r="Z19" s="99" t="s">
        <v>356</v>
      </c>
      <c r="AA19" s="100">
        <v>242863</v>
      </c>
    </row>
    <row r="20" spans="8:27" x14ac:dyDescent="0.25">
      <c r="H20" s="99" t="s">
        <v>449</v>
      </c>
      <c r="Z20" s="99" t="s">
        <v>348</v>
      </c>
      <c r="AA20" s="100">
        <v>485119.81543999998</v>
      </c>
    </row>
    <row r="21" spans="8:27" x14ac:dyDescent="0.25">
      <c r="H21" s="99" t="s">
        <v>427</v>
      </c>
    </row>
    <row r="22" spans="8:27" x14ac:dyDescent="0.25">
      <c r="H22" s="99" t="s">
        <v>306</v>
      </c>
    </row>
    <row r="23" spans="8:27" x14ac:dyDescent="0.25">
      <c r="H23" s="99" t="s">
        <v>450</v>
      </c>
    </row>
    <row r="24" spans="8:27" x14ac:dyDescent="0.25">
      <c r="H24" s="99" t="s">
        <v>116</v>
      </c>
    </row>
    <row r="25" spans="8:27" x14ac:dyDescent="0.25">
      <c r="H25" s="99" t="s">
        <v>69</v>
      </c>
    </row>
    <row r="26" spans="8:27" x14ac:dyDescent="0.25">
      <c r="H26" s="99" t="s">
        <v>451</v>
      </c>
    </row>
    <row r="27" spans="8:27" x14ac:dyDescent="0.25">
      <c r="H27" s="99" t="s">
        <v>266</v>
      </c>
    </row>
    <row r="28" spans="8:27" x14ac:dyDescent="0.25">
      <c r="H28" s="99" t="s">
        <v>317</v>
      </c>
    </row>
    <row r="29" spans="8:27" x14ac:dyDescent="0.25">
      <c r="H29" s="99" t="s">
        <v>452</v>
      </c>
    </row>
    <row r="30" spans="8:27" x14ac:dyDescent="0.25">
      <c r="H30" s="99" t="s">
        <v>453</v>
      </c>
    </row>
    <row r="31" spans="8:27" x14ac:dyDescent="0.25">
      <c r="H31" s="99" t="s">
        <v>454</v>
      </c>
    </row>
    <row r="32" spans="8:27" x14ac:dyDescent="0.25">
      <c r="H32" s="99" t="s">
        <v>133</v>
      </c>
    </row>
    <row r="33" spans="8:8" x14ac:dyDescent="0.25">
      <c r="H33" s="99" t="s">
        <v>455</v>
      </c>
    </row>
    <row r="34" spans="8:8" x14ac:dyDescent="0.25">
      <c r="H34" s="99" t="s">
        <v>290</v>
      </c>
    </row>
    <row r="35" spans="8:8" x14ac:dyDescent="0.25">
      <c r="H35" s="99" t="s">
        <v>456</v>
      </c>
    </row>
    <row r="36" spans="8:8" x14ac:dyDescent="0.25">
      <c r="H36" s="99" t="s">
        <v>434</v>
      </c>
    </row>
    <row r="37" spans="8:8" x14ac:dyDescent="0.25">
      <c r="H37" s="99" t="s">
        <v>457</v>
      </c>
    </row>
    <row r="38" spans="8:8" x14ac:dyDescent="0.25">
      <c r="H38" s="99" t="s">
        <v>131</v>
      </c>
    </row>
    <row r="39" spans="8:8" x14ac:dyDescent="0.25">
      <c r="H39" s="99" t="s">
        <v>458</v>
      </c>
    </row>
    <row r="40" spans="8:8" x14ac:dyDescent="0.25">
      <c r="H40" s="99" t="s">
        <v>25</v>
      </c>
    </row>
    <row r="41" spans="8:8" x14ac:dyDescent="0.25">
      <c r="H41" s="99" t="s">
        <v>22</v>
      </c>
    </row>
    <row r="42" spans="8:8" x14ac:dyDescent="0.25">
      <c r="H42" s="99" t="s">
        <v>426</v>
      </c>
    </row>
    <row r="43" spans="8:8" x14ac:dyDescent="0.25">
      <c r="H43" s="99" t="s">
        <v>106</v>
      </c>
    </row>
    <row r="44" spans="8:8" x14ac:dyDescent="0.25">
      <c r="H44" s="99" t="s">
        <v>143</v>
      </c>
    </row>
    <row r="45" spans="8:8" x14ac:dyDescent="0.25">
      <c r="H45" s="99" t="s">
        <v>267</v>
      </c>
    </row>
    <row r="46" spans="8:8" x14ac:dyDescent="0.25">
      <c r="H46" s="99" t="s">
        <v>433</v>
      </c>
    </row>
    <row r="47" spans="8:8" x14ac:dyDescent="0.25">
      <c r="H47" s="99" t="s">
        <v>459</v>
      </c>
    </row>
    <row r="48" spans="8:8" x14ac:dyDescent="0.25">
      <c r="H48" s="99" t="s">
        <v>203</v>
      </c>
    </row>
    <row r="49" spans="8:8" x14ac:dyDescent="0.25">
      <c r="H49" s="99" t="s">
        <v>460</v>
      </c>
    </row>
    <row r="50" spans="8:8" x14ac:dyDescent="0.25">
      <c r="H50" s="99" t="s">
        <v>79</v>
      </c>
    </row>
    <row r="51" spans="8:8" x14ac:dyDescent="0.25">
      <c r="H51" s="99" t="s">
        <v>461</v>
      </c>
    </row>
    <row r="52" spans="8:8" x14ac:dyDescent="0.25">
      <c r="H52" s="99" t="s">
        <v>462</v>
      </c>
    </row>
    <row r="53" spans="8:8" x14ac:dyDescent="0.25">
      <c r="H53" s="99" t="s">
        <v>221</v>
      </c>
    </row>
    <row r="54" spans="8:8" x14ac:dyDescent="0.25">
      <c r="H54" s="99" t="s">
        <v>250</v>
      </c>
    </row>
    <row r="55" spans="8:8" x14ac:dyDescent="0.25">
      <c r="H55" s="99" t="s">
        <v>463</v>
      </c>
    </row>
    <row r="56" spans="8:8" x14ac:dyDescent="0.25">
      <c r="H56" s="99" t="s">
        <v>464</v>
      </c>
    </row>
    <row r="57" spans="8:8" x14ac:dyDescent="0.25">
      <c r="H57" s="99" t="s">
        <v>432</v>
      </c>
    </row>
    <row r="58" spans="8:8" x14ac:dyDescent="0.25">
      <c r="H58" s="99" t="s">
        <v>465</v>
      </c>
    </row>
    <row r="59" spans="8:8" x14ac:dyDescent="0.25">
      <c r="H59" s="99" t="s">
        <v>466</v>
      </c>
    </row>
    <row r="60" spans="8:8" x14ac:dyDescent="0.25">
      <c r="H60" s="99" t="s">
        <v>430</v>
      </c>
    </row>
    <row r="61" spans="8:8" x14ac:dyDescent="0.25">
      <c r="H61" s="99" t="s">
        <v>281</v>
      </c>
    </row>
    <row r="62" spans="8:8" x14ac:dyDescent="0.25">
      <c r="H62" s="99" t="s">
        <v>467</v>
      </c>
    </row>
    <row r="63" spans="8:8" x14ac:dyDescent="0.25">
      <c r="H63" s="99" t="s">
        <v>468</v>
      </c>
    </row>
    <row r="64" spans="8:8" x14ac:dyDescent="0.25">
      <c r="H64" s="99" t="s">
        <v>294</v>
      </c>
    </row>
    <row r="65" spans="8:8" x14ac:dyDescent="0.25">
      <c r="H65" s="99" t="s">
        <v>18</v>
      </c>
    </row>
    <row r="66" spans="8:8" x14ac:dyDescent="0.25">
      <c r="H66" s="99" t="s">
        <v>313</v>
      </c>
    </row>
    <row r="67" spans="8:8" x14ac:dyDescent="0.25">
      <c r="H67" s="99" t="s">
        <v>469</v>
      </c>
    </row>
    <row r="68" spans="8:8" x14ac:dyDescent="0.25">
      <c r="H68" s="99" t="s">
        <v>263</v>
      </c>
    </row>
    <row r="69" spans="8:8" x14ac:dyDescent="0.25">
      <c r="H69" s="99" t="s">
        <v>470</v>
      </c>
    </row>
    <row r="70" spans="8:8" x14ac:dyDescent="0.25">
      <c r="H70" s="99" t="s">
        <v>429</v>
      </c>
    </row>
    <row r="71" spans="8:8" x14ac:dyDescent="0.25">
      <c r="H71" s="99" t="s">
        <v>119</v>
      </c>
    </row>
    <row r="72" spans="8:8" x14ac:dyDescent="0.25">
      <c r="H72" s="99" t="s">
        <v>303</v>
      </c>
    </row>
    <row r="73" spans="8:8" x14ac:dyDescent="0.25">
      <c r="H73" s="99" t="s">
        <v>471</v>
      </c>
    </row>
    <row r="74" spans="8:8" x14ac:dyDescent="0.25">
      <c r="H74" s="99" t="s">
        <v>472</v>
      </c>
    </row>
    <row r="75" spans="8:8" x14ac:dyDescent="0.25">
      <c r="H75" s="99" t="s">
        <v>473</v>
      </c>
    </row>
    <row r="76" spans="8:8" x14ac:dyDescent="0.25">
      <c r="H76" s="99" t="s">
        <v>240</v>
      </c>
    </row>
    <row r="77" spans="8:8" x14ac:dyDescent="0.25">
      <c r="H77" s="99" t="s">
        <v>309</v>
      </c>
    </row>
    <row r="78" spans="8:8" x14ac:dyDescent="0.25">
      <c r="H78" s="99" t="s">
        <v>99</v>
      </c>
    </row>
    <row r="79" spans="8:8" x14ac:dyDescent="0.25">
      <c r="H79" s="99" t="s">
        <v>202</v>
      </c>
    </row>
    <row r="80" spans="8:8" x14ac:dyDescent="0.25">
      <c r="H80" s="99" t="s">
        <v>431</v>
      </c>
    </row>
    <row r="81" spans="8:8" x14ac:dyDescent="0.25">
      <c r="H81" s="99" t="s">
        <v>147</v>
      </c>
    </row>
  </sheetData>
  <mergeCells count="8">
    <mergeCell ref="AL1:AO2"/>
    <mergeCell ref="AQ1:AW2"/>
    <mergeCell ref="A1:F2"/>
    <mergeCell ref="H1:L2"/>
    <mergeCell ref="N1:R2"/>
    <mergeCell ref="T1:X2"/>
    <mergeCell ref="Z1:AD2"/>
    <mergeCell ref="AF1:A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1B7E2-20E0-4011-B5E6-1922C912F913}">
  <sheetPr codeName="Sheet5"/>
  <dimension ref="A1"/>
  <sheetViews>
    <sheetView showGridLines="0" tabSelected="1" topLeftCell="A6" zoomScale="85" zoomScaleNormal="85" workbookViewId="0">
      <selection activeCell="X21" sqref="X21"/>
    </sheetView>
  </sheetViews>
  <sheetFormatPr defaultRowHeight="15" x14ac:dyDescent="0.25"/>
  <cols>
    <col min="1" max="16384" width="9.140625" style="96"/>
  </cols>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7" r:id="rId3" name="Button 3">
              <controlPr defaultSize="0" print="0" autoFill="0" autoPict="0" macro="[0]!ClearAllSlicerFilters">
                <anchor moveWithCells="1" sizeWithCells="1">
                  <from>
                    <xdr:col>2</xdr:col>
                    <xdr:colOff>533400</xdr:colOff>
                    <xdr:row>26</xdr:row>
                    <xdr:rowOff>142875</xdr:rowOff>
                  </from>
                  <to>
                    <xdr:col>4</xdr:col>
                    <xdr:colOff>333375</xdr:colOff>
                    <xdr:row>29</xdr:row>
                    <xdr:rowOff>19050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6788BE-5B8F-4287-A52E-3486D407C9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الارشادات</vt:lpstr>
      <vt:lpstr>البيانات</vt:lpstr>
      <vt:lpstr>Misue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Mohamed ahmed Eweda</cp:lastModifiedBy>
  <dcterms:created xsi:type="dcterms:W3CDTF">2015-06-05T18:17:20Z</dcterms:created>
  <dcterms:modified xsi:type="dcterms:W3CDTF">2025-09-10T09:51:06Z</dcterms:modified>
</cp:coreProperties>
</file>